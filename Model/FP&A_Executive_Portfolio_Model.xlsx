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r\Desktop\Study\Projects\Finance &amp; Banking Analyst\Management Reporting Analyics (FP&amp;A)\"/>
    </mc:Choice>
  </mc:AlternateContent>
  <xr:revisionPtr revIDLastSave="0" documentId="13_ncr:1_{2F689646-8FA7-42FA-AB21-5A73B6308A2A}" xr6:coauthVersionLast="47" xr6:coauthVersionMax="47" xr10:uidLastSave="{00000000-0000-0000-0000-000000000000}"/>
  <bookViews>
    <workbookView xWindow="-110" yWindow="-110" windowWidth="19420" windowHeight="11020" firstSheet="2" activeTab="7" xr2:uid="{00000000-000D-0000-FFFF-FFFF00000000}"/>
  </bookViews>
  <sheets>
    <sheet name="Cover" sheetId="1" r:id="rId1"/>
    <sheet name="Data_Raw" sheetId="2" r:id="rId2"/>
    <sheet name="Assumptions" sheetId="3" r:id="rId3"/>
    <sheet name="Monthly_Report" sheetId="4" r:id="rId4"/>
    <sheet name="Driver_Analysis" sheetId="5" r:id="rId5"/>
    <sheet name="Dashboard" sheetId="6" r:id="rId6"/>
    <sheet name="KPI_Tree" sheetId="7" r:id="rId7"/>
    <sheet name="Checks" sheetId="8" r:id="rId8"/>
  </sheets>
  <calcPr calcId="191029"/>
</workbook>
</file>

<file path=xl/calcChain.xml><?xml version="1.0" encoding="utf-8"?>
<calcChain xmlns="http://schemas.openxmlformats.org/spreadsheetml/2006/main">
  <c r="F10" i="8" l="1"/>
  <c r="D10" i="8"/>
  <c r="H14" i="6"/>
  <c r="G14" i="6"/>
  <c r="I14" i="6" s="1"/>
  <c r="D14" i="6"/>
  <c r="E14" i="6" s="1"/>
  <c r="F14" i="6" s="1"/>
  <c r="C14" i="6"/>
  <c r="H13" i="6"/>
  <c r="G13" i="6"/>
  <c r="J13" i="6" s="1"/>
  <c r="D13" i="6"/>
  <c r="C13" i="6"/>
  <c r="E13" i="6" s="1"/>
  <c r="F13" i="6" s="1"/>
  <c r="H12" i="6"/>
  <c r="I12" i="6" s="1"/>
  <c r="G12" i="6"/>
  <c r="G15" i="6" s="1"/>
  <c r="D12" i="6"/>
  <c r="D15" i="6" s="1"/>
  <c r="C12" i="6"/>
  <c r="E12" i="6" s="1"/>
  <c r="F12" i="6" s="1"/>
  <c r="D13" i="5"/>
  <c r="D12" i="5"/>
  <c r="D11" i="5"/>
  <c r="D10" i="5"/>
  <c r="L29" i="4"/>
  <c r="I29" i="4"/>
  <c r="H29" i="4"/>
  <c r="F29" i="4"/>
  <c r="G29" i="4" s="1"/>
  <c r="E29" i="4"/>
  <c r="D29" i="4"/>
  <c r="C29" i="4"/>
  <c r="I28" i="4"/>
  <c r="K28" i="4" s="1"/>
  <c r="M28" i="4" s="1"/>
  <c r="H28" i="4"/>
  <c r="J28" i="4" s="1"/>
  <c r="E28" i="4"/>
  <c r="F28" i="4" s="1"/>
  <c r="D28" i="4"/>
  <c r="L28" i="4" s="1"/>
  <c r="C28" i="4"/>
  <c r="I27" i="4"/>
  <c r="H27" i="4"/>
  <c r="J27" i="4" s="1"/>
  <c r="E27" i="4"/>
  <c r="D27" i="4"/>
  <c r="L27" i="4" s="1"/>
  <c r="C27" i="4"/>
  <c r="I26" i="4"/>
  <c r="K26" i="4" s="1"/>
  <c r="M26" i="4" s="1"/>
  <c r="H26" i="4"/>
  <c r="J26" i="4" s="1"/>
  <c r="F26" i="4"/>
  <c r="G26" i="4" s="1"/>
  <c r="E26" i="4"/>
  <c r="D26" i="4"/>
  <c r="L26" i="4" s="1"/>
  <c r="C26" i="4"/>
  <c r="I25" i="4"/>
  <c r="H25" i="4"/>
  <c r="L25" i="4" s="1"/>
  <c r="E25" i="4"/>
  <c r="D25" i="4"/>
  <c r="C25" i="4"/>
  <c r="I24" i="4"/>
  <c r="H24" i="4"/>
  <c r="J24" i="4" s="1"/>
  <c r="E24" i="4"/>
  <c r="D24" i="4"/>
  <c r="L24" i="4" s="1"/>
  <c r="C24" i="4"/>
  <c r="L23" i="4"/>
  <c r="I23" i="4"/>
  <c r="H23" i="4"/>
  <c r="J23" i="4" s="1"/>
  <c r="K23" i="4" s="1"/>
  <c r="M23" i="4" s="1"/>
  <c r="E23" i="4"/>
  <c r="D23" i="4"/>
  <c r="F23" i="4" s="1"/>
  <c r="C23" i="4"/>
  <c r="K22" i="4"/>
  <c r="M22" i="4" s="1"/>
  <c r="J22" i="4"/>
  <c r="I22" i="4"/>
  <c r="H22" i="4"/>
  <c r="E22" i="4"/>
  <c r="G22" i="4" s="1"/>
  <c r="D22" i="4"/>
  <c r="F22" i="4" s="1"/>
  <c r="C22" i="4"/>
  <c r="J21" i="4"/>
  <c r="K21" i="4" s="1"/>
  <c r="M21" i="4" s="1"/>
  <c r="I21" i="4"/>
  <c r="H21" i="4"/>
  <c r="E21" i="4"/>
  <c r="G21" i="4" s="1"/>
  <c r="D21" i="4"/>
  <c r="F21" i="4" s="1"/>
  <c r="C21" i="4"/>
  <c r="L20" i="4"/>
  <c r="I20" i="4"/>
  <c r="J20" i="4" s="1"/>
  <c r="H20" i="4"/>
  <c r="E20" i="4"/>
  <c r="G20" i="4" s="1"/>
  <c r="D20" i="4"/>
  <c r="F20" i="4" s="1"/>
  <c r="C20" i="4"/>
  <c r="I19" i="4"/>
  <c r="H19" i="4"/>
  <c r="L19" i="4" s="1"/>
  <c r="E19" i="4"/>
  <c r="D19" i="4"/>
  <c r="F19" i="4" s="1"/>
  <c r="G19" i="4" s="1"/>
  <c r="C19" i="4"/>
  <c r="J18" i="4"/>
  <c r="K18" i="4" s="1"/>
  <c r="M18" i="4" s="1"/>
  <c r="I18" i="4"/>
  <c r="H18" i="4"/>
  <c r="L18" i="4" s="1"/>
  <c r="G18" i="4"/>
  <c r="F18" i="4"/>
  <c r="E18" i="4"/>
  <c r="D18" i="4"/>
  <c r="C18" i="4"/>
  <c r="L17" i="4"/>
  <c r="I17" i="4"/>
  <c r="J17" i="4" s="1"/>
  <c r="H17" i="4"/>
  <c r="F17" i="4"/>
  <c r="G17" i="4" s="1"/>
  <c r="E17" i="4"/>
  <c r="D17" i="4"/>
  <c r="C17" i="4"/>
  <c r="I16" i="4"/>
  <c r="H16" i="4"/>
  <c r="J16" i="4" s="1"/>
  <c r="E16" i="4"/>
  <c r="F16" i="4" s="1"/>
  <c r="D16" i="4"/>
  <c r="L16" i="4" s="1"/>
  <c r="C16" i="4"/>
  <c r="I15" i="4"/>
  <c r="H15" i="4"/>
  <c r="J15" i="4" s="1"/>
  <c r="E15" i="4"/>
  <c r="D15" i="4"/>
  <c r="L15" i="4" s="1"/>
  <c r="C15" i="4"/>
  <c r="I14" i="4"/>
  <c r="H14" i="4"/>
  <c r="J14" i="4" s="1"/>
  <c r="F14" i="4"/>
  <c r="G14" i="4" s="1"/>
  <c r="E14" i="4"/>
  <c r="D14" i="4"/>
  <c r="L14" i="4" s="1"/>
  <c r="C14" i="4"/>
  <c r="I13" i="4"/>
  <c r="H13" i="4"/>
  <c r="L13" i="4" s="1"/>
  <c r="E13" i="4"/>
  <c r="D13" i="4"/>
  <c r="C13" i="4"/>
  <c r="I12" i="4"/>
  <c r="H12" i="4"/>
  <c r="J12" i="4" s="1"/>
  <c r="K12" i="4" s="1"/>
  <c r="M12" i="4" s="1"/>
  <c r="E12" i="4"/>
  <c r="D12" i="4"/>
  <c r="L12" i="4" s="1"/>
  <c r="C12" i="4"/>
  <c r="M11" i="4"/>
  <c r="L11" i="4"/>
  <c r="K11" i="4"/>
  <c r="J11" i="4"/>
  <c r="I11" i="4"/>
  <c r="H11" i="4"/>
  <c r="E11" i="4"/>
  <c r="D11" i="4"/>
  <c r="F11" i="4" s="1"/>
  <c r="C11" i="4"/>
  <c r="L10" i="4"/>
  <c r="K10" i="4"/>
  <c r="M10" i="4" s="1"/>
  <c r="J10" i="4"/>
  <c r="I10" i="4"/>
  <c r="H10" i="4"/>
  <c r="E10" i="4"/>
  <c r="D10" i="4"/>
  <c r="F10" i="4" s="1"/>
  <c r="C10" i="4"/>
  <c r="J9" i="4"/>
  <c r="K9" i="4" s="1"/>
  <c r="M9" i="4" s="1"/>
  <c r="I9" i="4"/>
  <c r="H9" i="4"/>
  <c r="E9" i="4"/>
  <c r="D9" i="4"/>
  <c r="F9" i="4" s="1"/>
  <c r="C9" i="4"/>
  <c r="L8" i="4"/>
  <c r="I8" i="4"/>
  <c r="J8" i="4" s="1"/>
  <c r="H8" i="4"/>
  <c r="E8" i="4"/>
  <c r="D8" i="4"/>
  <c r="F8" i="4" s="1"/>
  <c r="G8" i="4" s="1"/>
  <c r="C8" i="4"/>
  <c r="I7" i="4"/>
  <c r="I30" i="4" s="1"/>
  <c r="H7" i="4"/>
  <c r="L7" i="4" s="1"/>
  <c r="G7" i="4"/>
  <c r="F7" i="4"/>
  <c r="E7" i="4"/>
  <c r="D7" i="4"/>
  <c r="C7" i="4"/>
  <c r="J6" i="4"/>
  <c r="K6" i="4" s="1"/>
  <c r="M6" i="4" s="1"/>
  <c r="I6" i="4"/>
  <c r="H6" i="4"/>
  <c r="L6" i="4" s="1"/>
  <c r="G6" i="4"/>
  <c r="F6" i="4"/>
  <c r="E6" i="4"/>
  <c r="E30" i="4" s="1"/>
  <c r="H7" i="6" s="1"/>
  <c r="D6" i="4"/>
  <c r="D30" i="4" s="1"/>
  <c r="C6" i="4"/>
  <c r="F16" i="3"/>
  <c r="F15" i="3"/>
  <c r="F14" i="3"/>
  <c r="F13" i="3"/>
  <c r="F12" i="3"/>
  <c r="F11" i="3"/>
  <c r="F10" i="3"/>
  <c r="F9" i="3"/>
  <c r="F6" i="3"/>
  <c r="C21" i="1"/>
  <c r="C20" i="1"/>
  <c r="C19" i="1"/>
  <c r="C18" i="1"/>
  <c r="C17" i="1"/>
  <c r="C16" i="1"/>
  <c r="C15" i="1"/>
  <c r="K14" i="4" l="1"/>
  <c r="M14" i="4" s="1"/>
  <c r="K24" i="4"/>
  <c r="M24" i="4" s="1"/>
  <c r="B6" i="6"/>
  <c r="F30" i="4"/>
  <c r="H6" i="6"/>
  <c r="K29" i="4"/>
  <c r="M29" i="4" s="1"/>
  <c r="K25" i="4"/>
  <c r="M25" i="4" s="1"/>
  <c r="G9" i="4"/>
  <c r="F7" i="6"/>
  <c r="C7" i="5"/>
  <c r="E7" i="5" s="1"/>
  <c r="G23" i="4"/>
  <c r="K15" i="4"/>
  <c r="M15" i="4" s="1"/>
  <c r="K27" i="4"/>
  <c r="M27" i="4" s="1"/>
  <c r="G10" i="4"/>
  <c r="G11" i="4"/>
  <c r="K16" i="4"/>
  <c r="M16" i="4" s="1"/>
  <c r="G24" i="4"/>
  <c r="H30" i="4"/>
  <c r="D8" i="8" s="1"/>
  <c r="F8" i="8" s="1"/>
  <c r="L22" i="4"/>
  <c r="J7" i="4"/>
  <c r="K7" i="4" s="1"/>
  <c r="M7" i="4" s="1"/>
  <c r="K8" i="4"/>
  <c r="M8" i="4" s="1"/>
  <c r="L9" i="4"/>
  <c r="F15" i="4"/>
  <c r="G15" i="4" s="1"/>
  <c r="G16" i="4"/>
  <c r="J19" i="4"/>
  <c r="K19" i="4" s="1"/>
  <c r="M19" i="4" s="1"/>
  <c r="K20" i="4"/>
  <c r="M20" i="4" s="1"/>
  <c r="L21" i="4"/>
  <c r="F27" i="4"/>
  <c r="G27" i="4" s="1"/>
  <c r="G28" i="4"/>
  <c r="J12" i="6"/>
  <c r="F13" i="4"/>
  <c r="G13" i="4" s="1"/>
  <c r="F25" i="4"/>
  <c r="G25" i="4" s="1"/>
  <c r="J29" i="4"/>
  <c r="F24" i="4"/>
  <c r="J14" i="6"/>
  <c r="C15" i="6"/>
  <c r="K17" i="4"/>
  <c r="M17" i="4" s="1"/>
  <c r="J13" i="4"/>
  <c r="K13" i="4" s="1"/>
  <c r="M13" i="4" s="1"/>
  <c r="J25" i="4"/>
  <c r="F12" i="4"/>
  <c r="G12" i="4" s="1"/>
  <c r="I13" i="6"/>
  <c r="H15" i="6"/>
  <c r="I15" i="6" s="1"/>
  <c r="D9" i="5" l="1"/>
  <c r="G30" i="4"/>
  <c r="B7" i="6"/>
  <c r="D8" i="5"/>
  <c r="E15" i="6"/>
  <c r="F15" i="6" s="1"/>
  <c r="D7" i="8"/>
  <c r="F7" i="8" s="1"/>
  <c r="C13" i="8" s="1"/>
  <c r="J15" i="6"/>
  <c r="E8" i="5"/>
  <c r="E9" i="5" s="1"/>
  <c r="E10" i="5" s="1"/>
  <c r="E11" i="5" s="1"/>
  <c r="E12" i="5" s="1"/>
  <c r="E13" i="5" s="1"/>
  <c r="E14" i="5" s="1"/>
  <c r="D9" i="8" s="1"/>
  <c r="F9" i="8" s="1"/>
  <c r="L30" i="4"/>
  <c r="F6" i="6" s="1"/>
  <c r="J30" i="4"/>
  <c r="D6" i="6"/>
  <c r="K30" i="4" l="1"/>
  <c r="M30" i="4" s="1"/>
  <c r="I3" i="6"/>
  <c r="I3" i="3"/>
  <c r="I3" i="4"/>
  <c r="I3" i="5"/>
  <c r="G3" i="8"/>
  <c r="I3" i="7"/>
  <c r="D7" i="6" l="1"/>
</calcChain>
</file>

<file path=xl/sharedStrings.xml><?xml version="1.0" encoding="utf-8"?>
<sst xmlns="http://schemas.openxmlformats.org/spreadsheetml/2006/main" count="411" uniqueCount="239">
  <si>
    <t>CORPORATE FINANCIAL PLANNING &amp; ANALYSIS</t>
  </si>
  <si>
    <t>Enterprise Management Reporting, Driver-Based Budgeting &amp; Variance Attribution Model</t>
  </si>
  <si>
    <t>PORTFOLIO METADATA &amp; MODEL GOVERNANCE</t>
  </si>
  <si>
    <t>Target Role / Capability</t>
  </si>
  <si>
    <t>Senior FP&amp;A Analyst / Strategic Finance Manager</t>
  </si>
  <si>
    <t>Core Competencies Showcased</t>
  </si>
  <si>
    <t>Driver-Based Budgeting • Rolling Forecasting • PVM Variance • KPI Architecture • Decision Support</t>
  </si>
  <si>
    <t>Reporting Currency &amp; Scale</t>
  </si>
  <si>
    <t>INR Crores (₹m synthetic management figures)</t>
  </si>
  <si>
    <t>Model Cadence &amp; Scope</t>
  </si>
  <si>
    <t>24-Month Horizon (FY25-FY26), 3 Business Units (Consumer, Enterprise, Digital)</t>
  </si>
  <si>
    <t>Audit &amp; Standard Compliance</t>
  </si>
  <si>
    <t>FAST Standard-aligned, Zero Hardcoded Totals, Dynamic SUMIFS Aggregations</t>
  </si>
  <si>
    <t>Last Updated / Verified</t>
  </si>
  <si>
    <t>Q3 2026 (Reflects 8+4 Rolling Run-Rate)</t>
  </si>
  <si>
    <t>MODEL DIRECTORY &amp; TABLE OF CONTENTS</t>
  </si>
  <si>
    <t>Sheet Name</t>
  </si>
  <si>
    <t>Tab Hyperlink</t>
  </si>
  <si>
    <t>Functional Purpose &amp; Employer Takeaway</t>
  </si>
  <si>
    <t>Executive Dashboard</t>
  </si>
  <si>
    <t>Consolidated KPI scoreboard, segment profitability, and executive trend charts</t>
  </si>
  <si>
    <t>Monthly Variance Report</t>
  </si>
  <si>
    <t>Dynamic 24-month Actual vs Budget vs Forecast revenue &amp; operating profit bridge</t>
  </si>
  <si>
    <t>Variance Driver Analysis</t>
  </si>
  <si>
    <t>P&amp;L bridge decomposing variance into Volume/Mix, Gross Margin, and Controllable Opex</t>
  </si>
  <si>
    <t>KPI Driver Tree</t>
  </si>
  <si>
    <t>Operational driver decomposition linking conversion, gross margin, and overheads to ROIC</t>
  </si>
  <si>
    <t>Assumptions &amp; Scenarios</t>
  </si>
  <si>
    <t>Dynamic macro scenario switcher (Downside / Base / Upside) and operating ratios</t>
  </si>
  <si>
    <t>Integrity &amp; Audit Checks</t>
  </si>
  <si>
    <t>Automated reconciliation tying out report totals, balance tolerance, and raw data integrity</t>
  </si>
  <si>
    <t>Normalized Raw Data</t>
  </si>
  <si>
    <t>Granular transactional fact table (72 records) feeding dynamic multi-criteria aggregations</t>
  </si>
  <si>
    <t>Month</t>
  </si>
  <si>
    <t>Year</t>
  </si>
  <si>
    <t>MonthNo</t>
  </si>
  <si>
    <t>Segment</t>
  </si>
  <si>
    <t>Revenue</t>
  </si>
  <si>
    <t>COGS</t>
  </si>
  <si>
    <t>GrossProfit</t>
  </si>
  <si>
    <t>Headcount</t>
  </si>
  <si>
    <t>Payroll</t>
  </si>
  <si>
    <t>Marketing</t>
  </si>
  <si>
    <t>Technology</t>
  </si>
  <si>
    <t>OtherOpex</t>
  </si>
  <si>
    <t>Capex</t>
  </si>
  <si>
    <t>Volume</t>
  </si>
  <si>
    <t>BudgetRevenue</t>
  </si>
  <si>
    <t>BudgetGrossMargin</t>
  </si>
  <si>
    <t>BudgetCOGS</t>
  </si>
  <si>
    <t>BudgetPayroll</t>
  </si>
  <si>
    <t>BudgetMarketing</t>
  </si>
  <si>
    <t>BudgetTechnology</t>
  </si>
  <si>
    <t>BudgetOtherOpex</t>
  </si>
  <si>
    <t>BudgetCapex</t>
  </si>
  <si>
    <t>Status</t>
  </si>
  <si>
    <t>ForecastRevenue</t>
  </si>
  <si>
    <t>ForecastCOGS</t>
  </si>
  <si>
    <t>ForecastPayroll</t>
  </si>
  <si>
    <t>ForecastMarketing</t>
  </si>
  <si>
    <t>ForecastTechnology</t>
  </si>
  <si>
    <t>ForecastOtherOpex</t>
  </si>
  <si>
    <t>ForecastCapex</t>
  </si>
  <si>
    <t>EBIT</t>
  </si>
  <si>
    <t>BudgetGrossProfit</t>
  </si>
  <si>
    <t>BudgetEBIT</t>
  </si>
  <si>
    <t>ForecastGrossProfit</t>
  </si>
  <si>
    <t>ForecastEBIT</t>
  </si>
  <si>
    <t>Consumer</t>
  </si>
  <si>
    <t>Actual</t>
  </si>
  <si>
    <t>Enterprise</t>
  </si>
  <si>
    <t>Digital</t>
  </si>
  <si>
    <t>Forecast</t>
  </si>
  <si>
    <t>FP&amp;A Planning Assumptions &amp; Scenario Control Panel</t>
  </si>
  <si>
    <t>INTEGRITY AUDIT</t>
  </si>
  <si>
    <t>Dynamic macro scenario selector and operational planning levers.</t>
  </si>
  <si>
    <t>SCENARIO CONTROL SWITCH</t>
  </si>
  <si>
    <t>Active Scenario ID (1=Downside, 2=Base, 3=Upside):</t>
  </si>
  <si>
    <t>Planning Lever</t>
  </si>
  <si>
    <t>Downside (1)</t>
  </si>
  <si>
    <t>Base (2)</t>
  </si>
  <si>
    <t>Upside (3)</t>
  </si>
  <si>
    <t>Active Value</t>
  </si>
  <si>
    <t>Unit</t>
  </si>
  <si>
    <t>Strategic Context</t>
  </si>
  <si>
    <t>Consumer Target Gross Margin</t>
  </si>
  <si>
    <t>%</t>
  </si>
  <si>
    <t>Retail product pricing &amp; commodity COGS sensitivity</t>
  </si>
  <si>
    <t>Enterprise Target Gross Margin</t>
  </si>
  <si>
    <t>B2B long-term contract pricing &amp; SLA delivery costs</t>
  </si>
  <si>
    <t>Digital Target Gross Margin</t>
  </si>
  <si>
    <t>High operating-leverage platform subscription revenue</t>
  </si>
  <si>
    <t>Headcount Expansion Cap</t>
  </si>
  <si>
    <t>Annual net-new organizational headcount constraint</t>
  </si>
  <si>
    <t>Salary Cost Inflation</t>
  </si>
  <si>
    <t>Merit cycle adjustments &amp; statutory inflation impact</t>
  </si>
  <si>
    <t>Target Marketing % Revenue</t>
  </si>
  <si>
    <t>Discretionary growth CAC investment ratio</t>
  </si>
  <si>
    <t>Target Technology % Revenue</t>
  </si>
  <si>
    <t>Core Cloud, ERP and security infrastructure baseline</t>
  </si>
  <si>
    <t>Capex % Revenue</t>
  </si>
  <si>
    <t>Maintenance and growth capital expenditures</t>
  </si>
  <si>
    <t>Forecast Cutoff Date:</t>
  </si>
  <si>
    <t>2026-08-01</t>
  </si>
  <si>
    <t>Separates closed historical actuals from 8+4 rolling run-rate forecast</t>
  </si>
  <si>
    <t>Monthly Actual vs Budget Performance Statement</t>
  </si>
  <si>
    <t>Multi-condition SUMIFS aggregation across FY25-FY26 with dynamic variance attribution (₹m).</t>
  </si>
  <si>
    <t>Actual Rev</t>
  </si>
  <si>
    <t>Budget Rev</t>
  </si>
  <si>
    <t>Rev Var ($)</t>
  </si>
  <si>
    <t>Rev Var (%)</t>
  </si>
  <si>
    <t>Actual EBIT</t>
  </si>
  <si>
    <t>Budget EBIT</t>
  </si>
  <si>
    <t>EBIT Var ($)</t>
  </si>
  <si>
    <t>EBIT Var (%)</t>
  </si>
  <si>
    <t>EBIT Margin</t>
  </si>
  <si>
    <t>Variance Flag</t>
  </si>
  <si>
    <t>Consolidated Total</t>
  </si>
  <si>
    <t>Management Variance Bridge &amp; Profitability Decomposition</t>
  </si>
  <si>
    <t>Systematic attribution bridging Budget EBIT to Reconciled Actual EBIT (₹m).</t>
  </si>
  <si>
    <t>P&amp;L LINE-ITEM ATTRIBUTION BRIDGE</t>
  </si>
  <si>
    <t>Attribution Step / Driver</t>
  </si>
  <si>
    <t>Budget Baseline</t>
  </si>
  <si>
    <t>Impact (₹m)</t>
  </si>
  <si>
    <t>Cumulative Bridge</t>
  </si>
  <si>
    <t>Variance Category</t>
  </si>
  <si>
    <t>Root Cause &amp; Strategic Narrative</t>
  </si>
  <si>
    <t>Base Budget EBIT Target</t>
  </si>
  <si>
    <t>Baseline</t>
  </si>
  <si>
    <t>Full-year planned operating target approved by board</t>
  </si>
  <si>
    <t>Revenue Volume / Demand Variance</t>
  </si>
  <si>
    <t>Top-line</t>
  </si>
  <si>
    <t>Macro market demand softness and Enterprise contract slip</t>
  </si>
  <si>
    <t>Gross Margin / COGS Impact</t>
  </si>
  <si>
    <t>Input cost inflation in Consumer partially mitigated by Digital mix</t>
  </si>
  <si>
    <t>Payroll &amp; Comp Optimization</t>
  </si>
  <si>
    <t>Controllable Opex</t>
  </si>
  <si>
    <t>Favorable headcount replacement timing and open req lag</t>
  </si>
  <si>
    <t>Marketing Spend Optimization</t>
  </si>
  <si>
    <t>Pruned lower-ROI performance acquisition channels</t>
  </si>
  <si>
    <t>Technology &amp; Cloud Efficiencies</t>
  </si>
  <si>
    <t>Fixed Opex</t>
  </si>
  <si>
    <t>Consolidation of multi-region cloud instances &amp; license true-ups</t>
  </si>
  <si>
    <t>Facilities &amp; G&amp;A Variances</t>
  </si>
  <si>
    <t>Disciplined travel and discretionary administrative controls</t>
  </si>
  <si>
    <t>Reconciled Actual EBIT Result</t>
  </si>
  <si>
    <t>Actuals</t>
  </si>
  <si>
    <t>Final operating profitability matching management financials</t>
  </si>
  <si>
    <t>Executive Management Dashboard</t>
  </si>
  <si>
    <t>Consolidated performance, KPI scorecard, and segment profitability.</t>
  </si>
  <si>
    <t>TOTAL REVENUE</t>
  </si>
  <si>
    <t>OPERATING EBIT</t>
  </si>
  <si>
    <t>EBIT MARGIN</t>
  </si>
  <si>
    <t>OPEX RATIO</t>
  </si>
  <si>
    <t>BUSINESS UNIT PERFORMANCE &amp; MARGIN CONTRIBUTION</t>
  </si>
  <si>
    <t>EXECUTIVE DECISION-SUPPORT &amp; COMMENTARY</t>
  </si>
  <si>
    <t>P&amp;L Focus Area</t>
  </si>
  <si>
    <t>Observed Variance</t>
  </si>
  <si>
    <t>Driver Isolation</t>
  </si>
  <si>
    <t>Actionable Management Recommendation</t>
  </si>
  <si>
    <t>Top-line Performance</t>
  </si>
  <si>
    <t>Consolidated Revenue is ₹-628.6m (-2.3%) below plan</t>
  </si>
  <si>
    <t>Enterprise contract renewal deferrals and price concession pressure</t>
  </si>
  <si>
    <t>Accelerate Q4 enterprise pipeline conversion; enforce strict discounting governance.</t>
  </si>
  <si>
    <t>Operating Profitability</t>
  </si>
  <si>
    <t>Operating EBIT is ₹-377.6m (-4.4%) adverse to budget</t>
  </si>
  <si>
    <t>Top-line volume drop amplified by Consumer commodity cost inflation</t>
  </si>
  <si>
    <t>Institute temporary hiring freezes on back-office roles; reprioritize discretionary SG&amp;A.</t>
  </si>
  <si>
    <t>Digital Business Unit</t>
  </si>
  <si>
    <t>Digital segment delivered highest margin contribution (43.1%)</t>
  </si>
  <si>
    <t>High-margin subscription scale and favorable gross revenue retention</t>
  </si>
  <si>
    <t>Reallocate growth capex from underperforming Consumer SKUs into Digital expansion.</t>
  </si>
  <si>
    <t>FP&amp;A Strategic KPI &amp; Value Driver Architecture</t>
  </si>
  <si>
    <t>Hierarchical operational levers directly connecting unit economics to return on capital.</t>
  </si>
  <si>
    <t>ENTERPRISE DUPONT / VALUE DRIVER FRAMEWORK</t>
  </si>
  <si>
    <t>Strategic Tier</t>
  </si>
  <si>
    <t>Primary KPI Metric</t>
  </si>
  <si>
    <t>Operational Formula / Logic</t>
  </si>
  <si>
    <t>Functional Owner</t>
  </si>
  <si>
    <t>Management Action Lever</t>
  </si>
  <si>
    <t>Tier 1: Shareholder Value</t>
  </si>
  <si>
    <t>Return on Invested Capital (ROIC)</t>
  </si>
  <si>
    <t>NOPAT / (Total Debt + Equity − Cash)</t>
  </si>
  <si>
    <t>CFO / Board</t>
  </si>
  <si>
    <t>Capital allocation, hurdle rates &amp; share buybacks</t>
  </si>
  <si>
    <t>Tier 2: Core Profitability</t>
  </si>
  <si>
    <t>Operating EBIT Margin (%)</t>
  </si>
  <si>
    <t>EBIT / Consolidated Net Revenue</t>
  </si>
  <si>
    <t>Business Unit Heads</t>
  </si>
  <si>
    <t>Pricing power, product mix &amp; cost discipline</t>
  </si>
  <si>
    <t>Tier 2: Capital Efficiency</t>
  </si>
  <si>
    <t>Cash Conversion Cycle (CCC)</t>
  </si>
  <si>
    <t>Days Sales Outstanding + DIO − DPO</t>
  </si>
  <si>
    <t>Treasury &amp; Operations</t>
  </si>
  <si>
    <t>Working capital terms, DSO collection enforcement</t>
  </si>
  <si>
    <t>Tier 3: Commercial Engine</t>
  </si>
  <si>
    <t>Revenue Volume &amp; ASP</t>
  </si>
  <si>
    <t>Contract Units × Realized Price / Mix</t>
  </si>
  <si>
    <t>Chief Commercial Officer</t>
  </si>
  <si>
    <t>Discount thresholds, bundling &amp; win-rate governance</t>
  </si>
  <si>
    <t>Tier 3: Manufacturing / Supply</t>
  </si>
  <si>
    <t>Gross Profit Margin (%)</t>
  </si>
  <si>
    <t>(Revenue − COGS) / Revenue</t>
  </si>
  <si>
    <t>Head of Supply Chain</t>
  </si>
  <si>
    <t>Vendor procurement, direct labor yield &amp; logistics</t>
  </si>
  <si>
    <t>Tier 3: Workforce Efficiency</t>
  </si>
  <si>
    <t>Revenue per Headcount (₹m)</t>
  </si>
  <si>
    <t>Consolidated Revenue / Total FTEs</t>
  </si>
  <si>
    <t>CHRO &amp; Business Heads</t>
  </si>
  <si>
    <t>Span of control, automation &amp; org productivity</t>
  </si>
  <si>
    <t>Tier 4: Opex Efficiency</t>
  </si>
  <si>
    <t>Marketing CAC / Payback</t>
  </si>
  <si>
    <t>Acquisition Spend / Net New Customers</t>
  </si>
  <si>
    <t>Chief Marketing Officer</t>
  </si>
  <si>
    <t>Channel attribution &amp; customer lifetime value (LTV)</t>
  </si>
  <si>
    <t>Tier 4: Technology ROI</t>
  </si>
  <si>
    <t>Cloud Infrastructure / Rev</t>
  </si>
  <si>
    <t>Total Hosting &amp; SaaS / Net Revenue</t>
  </si>
  <si>
    <t>Chief Technology Officer</t>
  </si>
  <si>
    <t>Instance right-sizing, auto-scaling &amp; license audits</t>
  </si>
  <si>
    <t>Model Financial Integrity &amp; Audit Controls</t>
  </si>
  <si>
    <t>Continuous automated validation guaranteeing zero reconciliation discrepancies.</t>
  </si>
  <si>
    <t>AUTOMATED RECONCILIATION CONTROLS</t>
  </si>
  <si>
    <t>Audit Control Test Description</t>
  </si>
  <si>
    <t>Model Formula Source</t>
  </si>
  <si>
    <t>Discrepancy</t>
  </si>
  <si>
    <t>Tolerance</t>
  </si>
  <si>
    <t>Audit Status</t>
  </si>
  <si>
    <t>Resolution Guidance</t>
  </si>
  <si>
    <t>Revenue Tie-Out: Dashboard Segment Total vs Monthly Total</t>
  </si>
  <si>
    <t>Dynamic Link</t>
  </si>
  <si>
    <t>Dashboard must reconcile with monthly reporting roll-forward</t>
  </si>
  <si>
    <t>EBIT Tie-Out: Dashboard Segment Total vs Monthly Total</t>
  </si>
  <si>
    <t>Segment operating profits must tie to corporate P&amp;L</t>
  </si>
  <si>
    <t>P&amp;L Bridge Tie-Out: Driver Reconciled EBIT vs Actual EBIT</t>
  </si>
  <si>
    <t>Decomposed variance bridge must match final actual EBIT exactly</t>
  </si>
  <si>
    <t>Database Completeness: Raw Row Count Audit</t>
  </si>
  <si>
    <t>Ensures all 24 months and 3 segments are populated</t>
  </si>
  <si>
    <t>MASTER AUDIT SUMMARY: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</si>
</sst>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.0;\(#,##0.0\);&quot;-&quot;;@"/>
    <numFmt numFmtId="167" formatCode="0.0%;\(0.0%\);&quot;0.0%&quot;;@"/>
    <numFmt numFmtId="168" formatCode="0.0000"/>
    <numFmt numFmtId="171" formatCode="[$-14009]yyyy/mm/dd;@"/>
  </numFmts>
  <fonts count="18" x14ac:knownFonts="1">
    <font>
      <sz val="11"/>
      <color theme="1"/>
      <name val="Calibri"/>
      <family val="2"/>
      <scheme val="minor"/>
    </font>
    <font>
      <b/>
      <sz val="18"/>
      <color rgb="FF0F172A"/>
      <name val="Segoe UI"/>
    </font>
    <font>
      <sz val="11"/>
      <color rgb="FF64748B"/>
      <name val="Segoe UI"/>
    </font>
    <font>
      <b/>
      <sz val="11"/>
      <color rgb="FF0F172A"/>
      <name val="Segoe UI"/>
    </font>
    <font>
      <b/>
      <sz val="9"/>
      <color rgb="FF1E293B"/>
      <name val="Segoe UI"/>
    </font>
    <font>
      <sz val="9"/>
      <color rgb="FF1E293B"/>
      <name val="Segoe UI"/>
    </font>
    <font>
      <b/>
      <sz val="9"/>
      <color rgb="FFFFFFFF"/>
      <name val="Segoe UI"/>
    </font>
    <font>
      <b/>
      <u/>
      <sz val="9.5"/>
      <color rgb="FF2563EB"/>
      <name val="Segoe UI"/>
    </font>
    <font>
      <b/>
      <sz val="15"/>
      <color rgb="FF0F172A"/>
      <name val="Segoe UI"/>
    </font>
    <font>
      <i/>
      <sz val="9.5"/>
      <color rgb="FF64748B"/>
      <name val="Segoe UI"/>
    </font>
    <font>
      <b/>
      <sz val="8"/>
      <color rgb="FF64748B"/>
      <name val="Segoe UI"/>
    </font>
    <font>
      <b/>
      <sz val="9.5"/>
      <name val="Segoe UI"/>
    </font>
    <font>
      <b/>
      <sz val="11"/>
      <color rgb="FF854D0E"/>
      <name val="Segoe UI"/>
    </font>
    <font>
      <i/>
      <sz val="8.5"/>
      <color rgb="FF64748B"/>
      <name val="Segoe UI"/>
    </font>
    <font>
      <b/>
      <sz val="8.5"/>
      <color rgb="FF64748B"/>
      <name val="Segoe UI"/>
    </font>
    <font>
      <b/>
      <sz val="14"/>
      <color rgb="FF0F172A"/>
      <name val="Segoe UI"/>
    </font>
    <font>
      <b/>
      <sz val="8"/>
      <color rgb="FF334155"/>
      <name val="Segoe UI"/>
    </font>
    <font>
      <b/>
      <sz val="11"/>
      <color rgb="FF16A34A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thin">
        <color rgb="FFCBD5E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2" borderId="0" xfId="0" applyFont="1" applyFill="1"/>
    <xf numFmtId="0" fontId="7" fillId="0" borderId="1" xfId="0" applyFont="1" applyBorder="1"/>
    <xf numFmtId="0" fontId="6" fillId="2" borderId="0" xfId="0" applyFont="1" applyFill="1" applyAlignment="1">
      <alignment horizontal="center"/>
    </xf>
    <xf numFmtId="166" fontId="5" fillId="0" borderId="1" xfId="0" applyNumberFormat="1" applyFont="1" applyBorder="1" applyAlignment="1">
      <alignment horizontal="right"/>
    </xf>
    <xf numFmtId="0" fontId="8" fillId="0" borderId="0" xfId="0" applyFont="1"/>
    <xf numFmtId="0" fontId="10" fillId="0" borderId="0" xfId="0" applyFont="1" applyAlignment="1">
      <alignment horizontal="right"/>
    </xf>
    <xf numFmtId="0" fontId="9" fillId="0" borderId="0" xfId="0" applyFont="1"/>
    <xf numFmtId="0" fontId="11" fillId="0" borderId="0" xfId="0" applyFont="1" applyAlignment="1">
      <alignment horizontal="right"/>
    </xf>
    <xf numFmtId="0" fontId="4" fillId="0" borderId="0" xfId="0" applyFont="1"/>
    <xf numFmtId="0" fontId="12" fillId="3" borderId="1" xfId="0" applyFont="1" applyFill="1" applyBorder="1" applyAlignment="1">
      <alignment horizontal="center"/>
    </xf>
    <xf numFmtId="167" fontId="5" fillId="0" borderId="1" xfId="0" applyNumberFormat="1" applyFont="1" applyBorder="1" applyAlignment="1">
      <alignment horizontal="right"/>
    </xf>
    <xf numFmtId="167" fontId="4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13" fillId="0" borderId="1" xfId="0" applyFont="1" applyBorder="1"/>
    <xf numFmtId="0" fontId="4" fillId="3" borderId="1" xfId="0" applyFont="1" applyFill="1" applyBorder="1" applyAlignment="1">
      <alignment horizontal="center"/>
    </xf>
    <xf numFmtId="0" fontId="13" fillId="0" borderId="0" xfId="0" applyFont="1"/>
    <xf numFmtId="17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6" fontId="5" fillId="5" borderId="1" xfId="0" applyNumberFormat="1" applyFont="1" applyFill="1" applyBorder="1"/>
    <xf numFmtId="167" fontId="5" fillId="5" borderId="1" xfId="0" applyNumberFormat="1" applyFont="1" applyFill="1" applyBorder="1"/>
    <xf numFmtId="17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/>
    <xf numFmtId="167" fontId="5" fillId="0" borderId="1" xfId="0" applyNumberFormat="1" applyFont="1" applyBorder="1"/>
    <xf numFmtId="0" fontId="4" fillId="6" borderId="2" xfId="0" applyFont="1" applyFill="1" applyBorder="1"/>
    <xf numFmtId="166" fontId="4" fillId="6" borderId="2" xfId="0" applyNumberFormat="1" applyFont="1" applyFill="1" applyBorder="1"/>
    <xf numFmtId="167" fontId="4" fillId="6" borderId="2" xfId="0" applyNumberFormat="1" applyFont="1" applyFill="1" applyBorder="1"/>
    <xf numFmtId="0" fontId="4" fillId="6" borderId="2" xfId="0" applyFont="1" applyFill="1" applyBorder="1" applyAlignment="1">
      <alignment horizontal="center"/>
    </xf>
    <xf numFmtId="0" fontId="4" fillId="6" borderId="1" xfId="0" applyFont="1" applyFill="1" applyBorder="1"/>
    <xf numFmtId="166" fontId="5" fillId="6" borderId="1" xfId="0" applyNumberFormat="1" applyFont="1" applyFill="1" applyBorder="1" applyAlignment="1">
      <alignment horizontal="right"/>
    </xf>
    <xf numFmtId="166" fontId="4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13" fillId="6" borderId="1" xfId="0" applyFont="1" applyFill="1" applyBorder="1"/>
    <xf numFmtId="166" fontId="4" fillId="0" borderId="1" xfId="0" applyNumberFormat="1" applyFont="1" applyBorder="1" applyAlignment="1">
      <alignment horizontal="right"/>
    </xf>
    <xf numFmtId="166" fontId="5" fillId="6" borderId="2" xfId="0" applyNumberFormat="1" applyFont="1" applyFill="1" applyBorder="1" applyAlignment="1">
      <alignment horizontal="right"/>
    </xf>
    <xf numFmtId="166" fontId="4" fillId="6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0" fontId="13" fillId="6" borderId="2" xfId="0" applyFont="1" applyFill="1" applyBorder="1"/>
    <xf numFmtId="168" fontId="5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7" fillId="0" borderId="0" xfId="0" applyFont="1"/>
    <xf numFmtId="166" fontId="15" fillId="4" borderId="3" xfId="0" applyNumberFormat="1" applyFont="1" applyFill="1" applyBorder="1" applyAlignment="1">
      <alignment horizontal="center"/>
    </xf>
    <xf numFmtId="0" fontId="0" fillId="4" borderId="3" xfId="0" applyFill="1" applyBorder="1"/>
    <xf numFmtId="0" fontId="16" fillId="4" borderId="3" xfId="0" applyFont="1" applyFill="1" applyBorder="1" applyAlignment="1">
      <alignment horizontal="center"/>
    </xf>
    <xf numFmtId="167" fontId="15" fillId="4" borderId="3" xfId="0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5" fillId="0" borderId="1" xfId="0" applyNumberFormat="1" applyFont="1" applyBorder="1" applyAlignment="1">
      <alignment horizontal="right"/>
    </xf>
    <xf numFmtId="1" fontId="0" fillId="0" borderId="0" xfId="0" applyNumberFormat="1"/>
    <xf numFmtId="171" fontId="6" fillId="2" borderId="0" xfId="0" applyNumberFormat="1" applyFont="1" applyFill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Revenue: Actual vs Budget (₹m)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Monthly_Report!$D$5</c:f>
              <c:strCache>
                <c:ptCount val="1"/>
                <c:pt idx="0">
                  <c:v>Actual Rev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Monthly_Report!$B$6:$B$29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Monthly_Report!$D$6:$D$29</c:f>
              <c:numCache>
                <c:formatCode>#,##0.0;\(#,##0.0\);"-";@</c:formatCode>
                <c:ptCount val="24"/>
                <c:pt idx="0">
                  <c:v>941.56209283515409</c:v>
                </c:pt>
                <c:pt idx="1">
                  <c:v>926.26034269996921</c:v>
                </c:pt>
                <c:pt idx="2">
                  <c:v>985.90361571028632</c:v>
                </c:pt>
                <c:pt idx="3">
                  <c:v>1015.1286082855526</c:v>
                </c:pt>
                <c:pt idx="4">
                  <c:v>1009.6839986828955</c:v>
                </c:pt>
                <c:pt idx="5">
                  <c:v>1056.5478794114704</c:v>
                </c:pt>
                <c:pt idx="6">
                  <c:v>975.76612334915353</c:v>
                </c:pt>
                <c:pt idx="7">
                  <c:v>985.9842684164488</c:v>
                </c:pt>
                <c:pt idx="8">
                  <c:v>1023.7222623766777</c:v>
                </c:pt>
                <c:pt idx="9">
                  <c:v>1045.6201889469933</c:v>
                </c:pt>
                <c:pt idx="10">
                  <c:v>1078.4401413576256</c:v>
                </c:pt>
                <c:pt idx="11">
                  <c:v>1171.4851063450496</c:v>
                </c:pt>
                <c:pt idx="12">
                  <c:v>1172.8466626463285</c:v>
                </c:pt>
                <c:pt idx="13">
                  <c:v>1174.2210570857858</c:v>
                </c:pt>
                <c:pt idx="14">
                  <c:v>1217.0925014141335</c:v>
                </c:pt>
                <c:pt idx="15">
                  <c:v>1258.3420433951355</c:v>
                </c:pt>
                <c:pt idx="16">
                  <c:v>1254.6583786124056</c:v>
                </c:pt>
                <c:pt idx="17">
                  <c:v>1278.2024339654445</c:v>
                </c:pt>
                <c:pt idx="18">
                  <c:v>1250.9383681930883</c:v>
                </c:pt>
                <c:pt idx="19">
                  <c:v>1262.6486706761573</c:v>
                </c:pt>
                <c:pt idx="20">
                  <c:v>1277.4763996887248</c:v>
                </c:pt>
                <c:pt idx="21">
                  <c:v>1351.9938694828852</c:v>
                </c:pt>
                <c:pt idx="22">
                  <c:v>1383.5746844085311</c:v>
                </c:pt>
                <c:pt idx="23">
                  <c:v>1511.5737422380944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A-4C15-B3E5-C93B3D50AEA8}"/>
            </c:ext>
          </c:extLst>
        </c:ser>
        <c:ser>
          <c:idx val="1"/>
          <c:order val="1"/>
          <c:tx>
            <c:strRef>
              <c:f>Monthly_Report!$E$5</c:f>
              <c:strCache>
                <c:ptCount val="1"/>
                <c:pt idx="0">
                  <c:v>Budget Rev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Monthly_Report!$B$6:$B$29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Monthly_Report!$E$6:$E$29</c:f>
              <c:numCache>
                <c:formatCode>#,##0.0;\(#,##0.0\);"-";@</c:formatCode>
                <c:ptCount val="24"/>
                <c:pt idx="0">
                  <c:v>944.54780182288675</c:v>
                </c:pt>
                <c:pt idx="1">
                  <c:v>944.71592444161251</c:v>
                </c:pt>
                <c:pt idx="2">
                  <c:v>988.32343219247105</c:v>
                </c:pt>
                <c:pt idx="3">
                  <c:v>1031.3174264214144</c:v>
                </c:pt>
                <c:pt idx="4">
                  <c:v>1029.8250993878428</c:v>
                </c:pt>
                <c:pt idx="5">
                  <c:v>1052.6231319346252</c:v>
                </c:pt>
                <c:pt idx="6">
                  <c:v>1008.3256835267089</c:v>
                </c:pt>
                <c:pt idx="7">
                  <c:v>998.80313865636515</c:v>
                </c:pt>
                <c:pt idx="8">
                  <c:v>1035.2490112819471</c:v>
                </c:pt>
                <c:pt idx="9">
                  <c:v>1058.9771961244096</c:v>
                </c:pt>
                <c:pt idx="10">
                  <c:v>1088.7827121134997</c:v>
                </c:pt>
                <c:pt idx="11">
                  <c:v>1191.0878875624433</c:v>
                </c:pt>
                <c:pt idx="12">
                  <c:v>1219.3018763355358</c:v>
                </c:pt>
                <c:pt idx="13">
                  <c:v>1226.7511239289013</c:v>
                </c:pt>
                <c:pt idx="14">
                  <c:v>1243.5296784028938</c:v>
                </c:pt>
                <c:pt idx="15">
                  <c:v>1321.2673788989471</c:v>
                </c:pt>
                <c:pt idx="16">
                  <c:v>1293.2082404923378</c:v>
                </c:pt>
                <c:pt idx="17">
                  <c:v>1310.0753294602623</c:v>
                </c:pt>
                <c:pt idx="18">
                  <c:v>1288.6805899041685</c:v>
                </c:pt>
                <c:pt idx="19">
                  <c:v>1316.8117647499432</c:v>
                </c:pt>
                <c:pt idx="20">
                  <c:v>1292.8396343396162</c:v>
                </c:pt>
                <c:pt idx="21">
                  <c:v>1373.2521314481705</c:v>
                </c:pt>
                <c:pt idx="22">
                  <c:v>1426.9460618832595</c:v>
                </c:pt>
                <c:pt idx="23">
                  <c:v>1553.0510365197406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4A-4C15-B3E5-C93B3D50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Reporting Period</a:t>
                </a:r>
              </a:p>
            </c:rich>
          </c:tx>
          <c:overlay val="1"/>
        </c:title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in Crores</a:t>
                </a:r>
              </a:p>
            </c:rich>
          </c:tx>
          <c:overlay val="1"/>
        </c:title>
        <c:numFmt formatCode="#,##0.0;\(#,##0.0\);&quot;-&quot;;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EBIT Margin Trajectory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Monthly_Report!$L$5</c:f>
              <c:strCache>
                <c:ptCount val="1"/>
                <c:pt idx="0">
                  <c:v>EBIT Margin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Monthly_Report!$B$6:$B$29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Monthly_Report!$L$6:$L$29</c:f>
              <c:numCache>
                <c:formatCode>0.0%;\(0.0%\);"0.0%";@</c:formatCode>
                <c:ptCount val="24"/>
                <c:pt idx="0">
                  <c:v>0.29372105168671259</c:v>
                </c:pt>
                <c:pt idx="1">
                  <c:v>0.29681289197309513</c:v>
                </c:pt>
                <c:pt idx="2">
                  <c:v>0.29766817117754057</c:v>
                </c:pt>
                <c:pt idx="3">
                  <c:v>0.29636438164366841</c:v>
                </c:pt>
                <c:pt idx="4">
                  <c:v>0.2986117482925183</c:v>
                </c:pt>
                <c:pt idx="5">
                  <c:v>0.29578658849975348</c:v>
                </c:pt>
                <c:pt idx="6">
                  <c:v>0.29775063216521647</c:v>
                </c:pt>
                <c:pt idx="7">
                  <c:v>0.29967831497236247</c:v>
                </c:pt>
                <c:pt idx="8">
                  <c:v>0.29698963410536505</c:v>
                </c:pt>
                <c:pt idx="9">
                  <c:v>0.29955915099821911</c:v>
                </c:pt>
                <c:pt idx="10">
                  <c:v>0.30079098049365632</c:v>
                </c:pt>
                <c:pt idx="11">
                  <c:v>0.2950173942262615</c:v>
                </c:pt>
                <c:pt idx="12">
                  <c:v>0.30311725488977131</c:v>
                </c:pt>
                <c:pt idx="13">
                  <c:v>0.29760850884784468</c:v>
                </c:pt>
                <c:pt idx="14">
                  <c:v>0.30329836865604232</c:v>
                </c:pt>
                <c:pt idx="15">
                  <c:v>0.29674372084908057</c:v>
                </c:pt>
                <c:pt idx="16">
                  <c:v>0.29978473820031648</c:v>
                </c:pt>
                <c:pt idx="17">
                  <c:v>0.30093801449565238</c:v>
                </c:pt>
                <c:pt idx="18">
                  <c:v>0.29447960664322448</c:v>
                </c:pt>
                <c:pt idx="19">
                  <c:v>0.30019602507957566</c:v>
                </c:pt>
                <c:pt idx="20">
                  <c:v>0.30489132586211543</c:v>
                </c:pt>
                <c:pt idx="21">
                  <c:v>0.29366633832320821</c:v>
                </c:pt>
                <c:pt idx="22">
                  <c:v>0.29954854079619087</c:v>
                </c:pt>
                <c:pt idx="23">
                  <c:v>0.30332704180800424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6E-42AC-B100-D7638DAC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Period</a:t>
                </a:r>
              </a:p>
            </c:rich>
          </c:tx>
          <c:overlay val="1"/>
        </c:title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Operating Margin</a:t>
                </a:r>
              </a:p>
            </c:rich>
          </c:tx>
          <c:overlay val="1"/>
        </c:title>
        <c:numFmt formatCode="0.0%;\(0.0%\);&quot;0.0%&quot;;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workbookViewId="0"/>
  </sheetViews>
  <sheetFormatPr defaultRowHeight="14.5" x14ac:dyDescent="0.35"/>
  <cols>
    <col min="1" max="1" width="4" customWidth="1"/>
    <col min="2" max="2" width="88" customWidth="1"/>
    <col min="3" max="3" width="101" customWidth="1"/>
    <col min="4" max="4" width="95" customWidth="1"/>
  </cols>
  <sheetData>
    <row r="2" spans="2:4" ht="26" x14ac:dyDescent="0.65">
      <c r="B2" s="1" t="s">
        <v>0</v>
      </c>
    </row>
    <row r="3" spans="2:4" ht="16.5" x14ac:dyDescent="0.45">
      <c r="B3" s="2" t="s">
        <v>1</v>
      </c>
    </row>
    <row r="5" spans="2:4" ht="16.5" x14ac:dyDescent="0.45">
      <c r="B5" s="3" t="s">
        <v>2</v>
      </c>
    </row>
    <row r="6" spans="2:4" ht="15" x14ac:dyDescent="0.4">
      <c r="B6" s="4" t="s">
        <v>3</v>
      </c>
      <c r="C6" s="5" t="s">
        <v>4</v>
      </c>
    </row>
    <row r="7" spans="2:4" ht="15" x14ac:dyDescent="0.4">
      <c r="B7" s="4" t="s">
        <v>5</v>
      </c>
      <c r="C7" s="5" t="s">
        <v>6</v>
      </c>
    </row>
    <row r="8" spans="2:4" ht="15" x14ac:dyDescent="0.4">
      <c r="B8" s="4" t="s">
        <v>7</v>
      </c>
      <c r="C8" s="5" t="s">
        <v>8</v>
      </c>
    </row>
    <row r="9" spans="2:4" ht="15" x14ac:dyDescent="0.4">
      <c r="B9" s="4" t="s">
        <v>9</v>
      </c>
      <c r="C9" s="5" t="s">
        <v>10</v>
      </c>
    </row>
    <row r="10" spans="2:4" ht="15" x14ac:dyDescent="0.4">
      <c r="B10" s="4" t="s">
        <v>11</v>
      </c>
      <c r="C10" s="5" t="s">
        <v>12</v>
      </c>
    </row>
    <row r="11" spans="2:4" ht="15" x14ac:dyDescent="0.4">
      <c r="B11" s="4" t="s">
        <v>13</v>
      </c>
      <c r="C11" s="5" t="s">
        <v>14</v>
      </c>
    </row>
    <row r="13" spans="2:4" ht="16.5" x14ac:dyDescent="0.45">
      <c r="B13" s="3" t="s">
        <v>15</v>
      </c>
    </row>
    <row r="14" spans="2:4" ht="15" x14ac:dyDescent="0.4">
      <c r="B14" s="6" t="s">
        <v>16</v>
      </c>
      <c r="C14" s="6" t="s">
        <v>17</v>
      </c>
      <c r="D14" s="6" t="s">
        <v>18</v>
      </c>
    </row>
    <row r="15" spans="2:4" ht="15" x14ac:dyDescent="0.4">
      <c r="B15" s="4" t="s">
        <v>19</v>
      </c>
      <c r="C15" s="7" t="str">
        <f>HYPERLINK("#Dashboard!A1", "Jump to Dashboard →")</f>
        <v>Jump to Dashboard →</v>
      </c>
      <c r="D15" s="5" t="s">
        <v>20</v>
      </c>
    </row>
    <row r="16" spans="2:4" ht="15" x14ac:dyDescent="0.4">
      <c r="B16" s="4" t="s">
        <v>21</v>
      </c>
      <c r="C16" s="7" t="str">
        <f>HYPERLINK("#Monthly_Report!A1", "Jump to Monthly_Report →")</f>
        <v>Jump to Monthly_Report →</v>
      </c>
      <c r="D16" s="5" t="s">
        <v>22</v>
      </c>
    </row>
    <row r="17" spans="2:4" ht="15" x14ac:dyDescent="0.4">
      <c r="B17" s="4" t="s">
        <v>23</v>
      </c>
      <c r="C17" s="7" t="str">
        <f>HYPERLINK("#Driver_Analysis!A1", "Jump to Driver_Analysis →")</f>
        <v>Jump to Driver_Analysis →</v>
      </c>
      <c r="D17" s="5" t="s">
        <v>24</v>
      </c>
    </row>
    <row r="18" spans="2:4" ht="15" x14ac:dyDescent="0.4">
      <c r="B18" s="4" t="s">
        <v>25</v>
      </c>
      <c r="C18" s="7" t="str">
        <f>HYPERLINK("#KPI_Tree!A1", "Jump to KPI_Tree →")</f>
        <v>Jump to KPI_Tree →</v>
      </c>
      <c r="D18" s="5" t="s">
        <v>26</v>
      </c>
    </row>
    <row r="19" spans="2:4" ht="15" x14ac:dyDescent="0.4">
      <c r="B19" s="4" t="s">
        <v>27</v>
      </c>
      <c r="C19" s="7" t="str">
        <f>HYPERLINK("#Assumptions!A1", "Jump to Assumptions →")</f>
        <v>Jump to Assumptions →</v>
      </c>
      <c r="D19" s="5" t="s">
        <v>28</v>
      </c>
    </row>
    <row r="20" spans="2:4" ht="15" x14ac:dyDescent="0.4">
      <c r="B20" s="4" t="s">
        <v>29</v>
      </c>
      <c r="C20" s="7" t="str">
        <f>HYPERLINK("#Checks!A1", "Jump to Checks →")</f>
        <v>Jump to Checks →</v>
      </c>
      <c r="D20" s="5" t="s">
        <v>30</v>
      </c>
    </row>
    <row r="21" spans="2:4" ht="15" x14ac:dyDescent="0.4">
      <c r="B21" s="4" t="s">
        <v>31</v>
      </c>
      <c r="C21" s="7" t="str">
        <f>HYPERLINK("#Data_Raw!A1", "Jump to Data_Raw →")</f>
        <v>Jump to Data_Raw →</v>
      </c>
      <c r="D21" s="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3"/>
  <sheetViews>
    <sheetView workbookViewId="0">
      <selection activeCell="C81" sqref="C81"/>
    </sheetView>
  </sheetViews>
  <sheetFormatPr defaultRowHeight="14.5" x14ac:dyDescent="0.35"/>
  <cols>
    <col min="1" max="1" width="12.7265625" style="57" customWidth="1"/>
    <col min="2" max="3" width="12" style="54" customWidth="1"/>
    <col min="4" max="4" width="14" customWidth="1"/>
    <col min="5" max="7" width="21" customWidth="1"/>
    <col min="8" max="8" width="13" customWidth="1"/>
    <col min="9" max="9" width="22" customWidth="1"/>
    <col min="10" max="17" width="21" customWidth="1"/>
    <col min="18" max="18" width="22" customWidth="1"/>
    <col min="19" max="22" width="21" customWidth="1"/>
    <col min="23" max="23" width="12" customWidth="1"/>
    <col min="24" max="25" width="21" customWidth="1"/>
    <col min="26" max="26" width="22" customWidth="1"/>
    <col min="27" max="27" width="21" customWidth="1"/>
    <col min="28" max="28" width="22" customWidth="1"/>
    <col min="29" max="33" width="21" customWidth="1"/>
    <col min="34" max="34" width="23" customWidth="1"/>
    <col min="35" max="35" width="21" customWidth="1"/>
  </cols>
  <sheetData>
    <row r="1" spans="1:35" ht="15" x14ac:dyDescent="0.4">
      <c r="A1" s="55" t="s">
        <v>33</v>
      </c>
      <c r="B1" s="52" t="s">
        <v>34</v>
      </c>
      <c r="C1" s="52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50</v>
      </c>
      <c r="S1" s="8" t="s">
        <v>51</v>
      </c>
      <c r="T1" s="8" t="s">
        <v>52</v>
      </c>
      <c r="U1" s="8" t="s">
        <v>53</v>
      </c>
      <c r="V1" s="8" t="s">
        <v>54</v>
      </c>
      <c r="W1" s="8" t="s">
        <v>55</v>
      </c>
      <c r="X1" s="8" t="s">
        <v>56</v>
      </c>
      <c r="Y1" s="8" t="s">
        <v>57</v>
      </c>
      <c r="Z1" s="8" t="s">
        <v>58</v>
      </c>
      <c r="AA1" s="8" t="s">
        <v>59</v>
      </c>
      <c r="AB1" s="8" t="s">
        <v>60</v>
      </c>
      <c r="AC1" s="8" t="s">
        <v>61</v>
      </c>
      <c r="AD1" s="8" t="s">
        <v>62</v>
      </c>
      <c r="AE1" s="8" t="s">
        <v>63</v>
      </c>
      <c r="AF1" s="8" t="s">
        <v>64</v>
      </c>
      <c r="AG1" s="8" t="s">
        <v>65</v>
      </c>
      <c r="AH1" s="8" t="s">
        <v>66</v>
      </c>
      <c r="AI1" s="8" t="s">
        <v>67</v>
      </c>
    </row>
    <row r="2" spans="1:35" ht="15" x14ac:dyDescent="0.4">
      <c r="A2" s="56">
        <v>45658</v>
      </c>
      <c r="B2" s="53">
        <v>2025</v>
      </c>
      <c r="C2" s="53">
        <v>1</v>
      </c>
      <c r="D2" s="5" t="s">
        <v>68</v>
      </c>
      <c r="E2" s="9">
        <v>492.94281177222859</v>
      </c>
      <c r="F2" s="9">
        <v>327.43387874294763</v>
      </c>
      <c r="G2" s="9">
        <v>165.508933029281</v>
      </c>
      <c r="H2" s="9">
        <v>180</v>
      </c>
      <c r="I2" s="9">
        <v>1.53</v>
      </c>
      <c r="J2" s="9">
        <v>22.182426529750291</v>
      </c>
      <c r="K2" s="9">
        <v>8.8729706119001133</v>
      </c>
      <c r="L2" s="9">
        <v>17.252998412027999</v>
      </c>
      <c r="M2" s="9">
        <v>5.9153137412667434</v>
      </c>
      <c r="N2" s="9">
        <v>4.9294281177222858</v>
      </c>
      <c r="O2" s="9">
        <v>493.12375150091759</v>
      </c>
      <c r="P2" s="9">
        <v>0.34499999999999997</v>
      </c>
      <c r="Q2" s="9">
        <v>322.99605723310111</v>
      </c>
      <c r="R2" s="9">
        <v>1.5606</v>
      </c>
      <c r="S2" s="9">
        <v>22.683692569042211</v>
      </c>
      <c r="T2" s="9">
        <v>9.3693512785174349</v>
      </c>
      <c r="U2" s="9">
        <v>16.766207551031201</v>
      </c>
      <c r="V2" s="9">
        <v>6.4106087695119287</v>
      </c>
      <c r="W2" s="5" t="s">
        <v>69</v>
      </c>
      <c r="X2" s="9">
        <v>492.94281177222859</v>
      </c>
      <c r="Y2" s="9">
        <v>327.43387874294763</v>
      </c>
      <c r="Z2" s="9">
        <v>1.53</v>
      </c>
      <c r="AA2" s="9">
        <v>22.182426529750291</v>
      </c>
      <c r="AB2" s="9">
        <v>8.8729706119001133</v>
      </c>
      <c r="AC2" s="9">
        <v>17.252998412027999</v>
      </c>
      <c r="AD2" s="9">
        <v>5.9153137412667434</v>
      </c>
      <c r="AE2" s="9">
        <v>115.6705374756026</v>
      </c>
      <c r="AF2" s="9">
        <v>170.12769426781651</v>
      </c>
      <c r="AG2" s="9">
        <v>119.74784286922571</v>
      </c>
      <c r="AH2" s="9">
        <v>165.508933029281</v>
      </c>
      <c r="AI2" s="9">
        <v>115.6705374756025</v>
      </c>
    </row>
    <row r="3" spans="1:35" ht="15" x14ac:dyDescent="0.4">
      <c r="A3" s="56">
        <v>45658</v>
      </c>
      <c r="B3" s="53">
        <v>2025</v>
      </c>
      <c r="C3" s="53">
        <v>1</v>
      </c>
      <c r="D3" s="5" t="s">
        <v>70</v>
      </c>
      <c r="E3" s="9">
        <v>287.53518363761037</v>
      </c>
      <c r="F3" s="9">
        <v>168.31516673981321</v>
      </c>
      <c r="G3" s="9">
        <v>119.22001689779719</v>
      </c>
      <c r="H3" s="9">
        <v>105</v>
      </c>
      <c r="I3" s="9">
        <v>0.89250000000000007</v>
      </c>
      <c r="J3" s="9">
        <v>8.05098514185309</v>
      </c>
      <c r="K3" s="9">
        <v>7.1883795909402597</v>
      </c>
      <c r="L3" s="9">
        <v>10.063731427316361</v>
      </c>
      <c r="M3" s="9">
        <v>3.4504222036513239</v>
      </c>
      <c r="N3" s="9">
        <v>2.8753518363761041</v>
      </c>
      <c r="O3" s="9">
        <v>289.69847452271688</v>
      </c>
      <c r="P3" s="9">
        <v>0.41499999999999998</v>
      </c>
      <c r="Q3" s="9">
        <v>169.47360759578939</v>
      </c>
      <c r="R3" s="9">
        <v>0.9103500000000001</v>
      </c>
      <c r="S3" s="9">
        <v>8.6909542356815059</v>
      </c>
      <c r="T3" s="9">
        <v>6.9527633885452049</v>
      </c>
      <c r="U3" s="9">
        <v>9.8497481337723745</v>
      </c>
      <c r="V3" s="9">
        <v>3.7660801687953191</v>
      </c>
      <c r="W3" s="5" t="s">
        <v>69</v>
      </c>
      <c r="X3" s="9">
        <v>287.53518363761037</v>
      </c>
      <c r="Y3" s="9">
        <v>168.31516673981321</v>
      </c>
      <c r="Z3" s="9">
        <v>0.89250000000000007</v>
      </c>
      <c r="AA3" s="9">
        <v>8.05098514185309</v>
      </c>
      <c r="AB3" s="9">
        <v>7.1883795909402597</v>
      </c>
      <c r="AC3" s="9">
        <v>10.063731427316361</v>
      </c>
      <c r="AD3" s="9">
        <v>3.4504222036513239</v>
      </c>
      <c r="AE3" s="9">
        <v>93.024420737687521</v>
      </c>
      <c r="AF3" s="9">
        <v>120.2248669269275</v>
      </c>
      <c r="AG3" s="9">
        <v>93.821051168928435</v>
      </c>
      <c r="AH3" s="9">
        <v>119.22001689779719</v>
      </c>
      <c r="AI3" s="9">
        <v>93.024420737687507</v>
      </c>
    </row>
    <row r="4" spans="1:35" ht="15" x14ac:dyDescent="0.4">
      <c r="A4" s="56">
        <v>45658</v>
      </c>
      <c r="B4" s="53">
        <v>2025</v>
      </c>
      <c r="C4" s="53">
        <v>1</v>
      </c>
      <c r="D4" s="5" t="s">
        <v>71</v>
      </c>
      <c r="E4" s="9">
        <v>161.08409742531509</v>
      </c>
      <c r="F4" s="9">
        <v>69.115253376051015</v>
      </c>
      <c r="G4" s="9">
        <v>91.968844049264106</v>
      </c>
      <c r="H4" s="9">
        <v>75</v>
      </c>
      <c r="I4" s="9">
        <v>0.75</v>
      </c>
      <c r="J4" s="9">
        <v>9.6650458455189074</v>
      </c>
      <c r="K4" s="9">
        <v>8.0542048712657568</v>
      </c>
      <c r="L4" s="9">
        <v>5.6379434098860299</v>
      </c>
      <c r="M4" s="9">
        <v>2.8995137536556719</v>
      </c>
      <c r="N4" s="9">
        <v>1.534134261193477</v>
      </c>
      <c r="O4" s="9">
        <v>161.72557579925231</v>
      </c>
      <c r="P4" s="9">
        <v>0.59</v>
      </c>
      <c r="Q4" s="9">
        <v>66.307486077693468</v>
      </c>
      <c r="R4" s="9">
        <v>0.76500000000000001</v>
      </c>
      <c r="S4" s="9">
        <v>9.3800833963566355</v>
      </c>
      <c r="T4" s="9">
        <v>7.7628276383641124</v>
      </c>
      <c r="U4" s="9">
        <v>5.4986695771745797</v>
      </c>
      <c r="V4" s="9">
        <v>3.234511515985047</v>
      </c>
      <c r="W4" s="5" t="s">
        <v>69</v>
      </c>
      <c r="X4" s="9">
        <v>161.08409742531509</v>
      </c>
      <c r="Y4" s="9">
        <v>69.115253376051015</v>
      </c>
      <c r="Z4" s="9">
        <v>0.75</v>
      </c>
      <c r="AA4" s="9">
        <v>9.6650458455189074</v>
      </c>
      <c r="AB4" s="9">
        <v>8.0542048712657568</v>
      </c>
      <c r="AC4" s="9">
        <v>5.6379434098860299</v>
      </c>
      <c r="AD4" s="9">
        <v>2.8995137536556719</v>
      </c>
      <c r="AE4" s="9">
        <v>67.861649922593415</v>
      </c>
      <c r="AF4" s="9">
        <v>95.418089721558871</v>
      </c>
      <c r="AG4" s="9">
        <v>72.011509109663535</v>
      </c>
      <c r="AH4" s="9">
        <v>91.968844049264106</v>
      </c>
      <c r="AI4" s="9">
        <v>67.861649922593415</v>
      </c>
    </row>
    <row r="5" spans="1:35" ht="15" x14ac:dyDescent="0.4">
      <c r="A5" s="56">
        <v>45689</v>
      </c>
      <c r="B5" s="53">
        <v>2025</v>
      </c>
      <c r="C5" s="53">
        <v>2</v>
      </c>
      <c r="D5" s="5" t="s">
        <v>68</v>
      </c>
      <c r="E5" s="9">
        <v>480.55496553217012</v>
      </c>
      <c r="F5" s="9">
        <v>317.78632279933117</v>
      </c>
      <c r="G5" s="9">
        <v>162.76864273283891</v>
      </c>
      <c r="H5" s="9">
        <v>180</v>
      </c>
      <c r="I5" s="9">
        <v>1.53</v>
      </c>
      <c r="J5" s="9">
        <v>21.62497344894765</v>
      </c>
      <c r="K5" s="9">
        <v>8.6499893795790612</v>
      </c>
      <c r="L5" s="9">
        <v>16.819423793625951</v>
      </c>
      <c r="M5" s="9">
        <v>5.7666595863860417</v>
      </c>
      <c r="N5" s="9">
        <v>4.805549655321701</v>
      </c>
      <c r="O5" s="9">
        <v>486.54545034290948</v>
      </c>
      <c r="P5" s="9">
        <v>0.34499999999999997</v>
      </c>
      <c r="Q5" s="9">
        <v>318.68726997460573</v>
      </c>
      <c r="R5" s="9">
        <v>1.5606</v>
      </c>
      <c r="S5" s="9">
        <v>22.381090715773841</v>
      </c>
      <c r="T5" s="9">
        <v>9.24436355651528</v>
      </c>
      <c r="U5" s="9">
        <v>16.54254531165892</v>
      </c>
      <c r="V5" s="9">
        <v>6.325090854457823</v>
      </c>
      <c r="W5" s="5" t="s">
        <v>69</v>
      </c>
      <c r="X5" s="9">
        <v>480.55496553217012</v>
      </c>
      <c r="Y5" s="9">
        <v>317.78632279933117</v>
      </c>
      <c r="Z5" s="9">
        <v>1.53</v>
      </c>
      <c r="AA5" s="9">
        <v>21.62497344894765</v>
      </c>
      <c r="AB5" s="9">
        <v>8.6499893795790612</v>
      </c>
      <c r="AC5" s="9">
        <v>16.819423793625951</v>
      </c>
      <c r="AD5" s="9">
        <v>5.7666595863860417</v>
      </c>
      <c r="AE5" s="9">
        <v>114.1442561106862</v>
      </c>
      <c r="AF5" s="9">
        <v>167.85818036830369</v>
      </c>
      <c r="AG5" s="9">
        <v>118.1295807843557</v>
      </c>
      <c r="AH5" s="9">
        <v>162.76864273283891</v>
      </c>
      <c r="AI5" s="9">
        <v>114.1442561106862</v>
      </c>
    </row>
    <row r="6" spans="1:35" ht="15" x14ac:dyDescent="0.4">
      <c r="A6" s="56">
        <v>45689</v>
      </c>
      <c r="B6" s="53">
        <v>2025</v>
      </c>
      <c r="C6" s="53">
        <v>2</v>
      </c>
      <c r="D6" s="5" t="s">
        <v>70</v>
      </c>
      <c r="E6" s="9">
        <v>276.24392080280279</v>
      </c>
      <c r="F6" s="9">
        <v>164.14330241356981</v>
      </c>
      <c r="G6" s="9">
        <v>112.10061838923301</v>
      </c>
      <c r="H6" s="9">
        <v>105</v>
      </c>
      <c r="I6" s="9">
        <v>0.89250000000000007</v>
      </c>
      <c r="J6" s="9">
        <v>7.7348297824784797</v>
      </c>
      <c r="K6" s="9">
        <v>6.9060980200700719</v>
      </c>
      <c r="L6" s="9">
        <v>9.668537228098101</v>
      </c>
      <c r="M6" s="9">
        <v>3.314927049633634</v>
      </c>
      <c r="N6" s="9">
        <v>2.7624392080280291</v>
      </c>
      <c r="O6" s="9">
        <v>285.68804966696388</v>
      </c>
      <c r="P6" s="9">
        <v>0.41499999999999998</v>
      </c>
      <c r="Q6" s="9">
        <v>167.12750905517379</v>
      </c>
      <c r="R6" s="9">
        <v>0.9103500000000001</v>
      </c>
      <c r="S6" s="9">
        <v>8.5706414900089154</v>
      </c>
      <c r="T6" s="9">
        <v>6.8565131920071334</v>
      </c>
      <c r="U6" s="9">
        <v>9.7133936886767724</v>
      </c>
      <c r="V6" s="9">
        <v>3.7139446456705301</v>
      </c>
      <c r="W6" s="5" t="s">
        <v>69</v>
      </c>
      <c r="X6" s="9">
        <v>276.24392080280279</v>
      </c>
      <c r="Y6" s="9">
        <v>164.14330241356981</v>
      </c>
      <c r="Z6" s="9">
        <v>0.89250000000000007</v>
      </c>
      <c r="AA6" s="9">
        <v>7.7348297824784797</v>
      </c>
      <c r="AB6" s="9">
        <v>6.9060980200700719</v>
      </c>
      <c r="AC6" s="9">
        <v>9.668537228098101</v>
      </c>
      <c r="AD6" s="9">
        <v>3.314927049633634</v>
      </c>
      <c r="AE6" s="9">
        <v>86.898653358586358</v>
      </c>
      <c r="AF6" s="9">
        <v>118.56054061179</v>
      </c>
      <c r="AG6" s="9">
        <v>92.509642241097225</v>
      </c>
      <c r="AH6" s="9">
        <v>112.10061838923301</v>
      </c>
      <c r="AI6" s="9">
        <v>86.898653358586373</v>
      </c>
    </row>
    <row r="7" spans="1:35" ht="15" x14ac:dyDescent="0.4">
      <c r="A7" s="56">
        <v>45689</v>
      </c>
      <c r="B7" s="53">
        <v>2025</v>
      </c>
      <c r="C7" s="53">
        <v>2</v>
      </c>
      <c r="D7" s="5" t="s">
        <v>71</v>
      </c>
      <c r="E7" s="9">
        <v>169.46145636499639</v>
      </c>
      <c r="F7" s="9">
        <v>70.256443624576377</v>
      </c>
      <c r="G7" s="9">
        <v>99.205012740419988</v>
      </c>
      <c r="H7" s="9">
        <v>75</v>
      </c>
      <c r="I7" s="9">
        <v>0.75</v>
      </c>
      <c r="J7" s="9">
        <v>10.16768738189978</v>
      </c>
      <c r="K7" s="9">
        <v>8.4730728182498183</v>
      </c>
      <c r="L7" s="9">
        <v>5.9311509727748737</v>
      </c>
      <c r="M7" s="9">
        <v>3.0503062145699338</v>
      </c>
      <c r="N7" s="9">
        <v>1.613918632047584</v>
      </c>
      <c r="O7" s="9">
        <v>172.48242443173919</v>
      </c>
      <c r="P7" s="9">
        <v>0.59</v>
      </c>
      <c r="Q7" s="9">
        <v>70.717794017013063</v>
      </c>
      <c r="R7" s="9">
        <v>0.76500000000000001</v>
      </c>
      <c r="S7" s="9">
        <v>10.00398061704087</v>
      </c>
      <c r="T7" s="9">
        <v>8.2791563727234792</v>
      </c>
      <c r="U7" s="9">
        <v>5.8644024306791316</v>
      </c>
      <c r="V7" s="9">
        <v>3.4496484886347831</v>
      </c>
      <c r="W7" s="5" t="s">
        <v>69</v>
      </c>
      <c r="X7" s="9">
        <v>169.46145636499639</v>
      </c>
      <c r="Y7" s="9">
        <v>70.256443624576377</v>
      </c>
      <c r="Z7" s="9">
        <v>0.75</v>
      </c>
      <c r="AA7" s="9">
        <v>10.16768738189978</v>
      </c>
      <c r="AB7" s="9">
        <v>8.4730728182498183</v>
      </c>
      <c r="AC7" s="9">
        <v>5.9311509727748737</v>
      </c>
      <c r="AD7" s="9">
        <v>3.0503062145699338</v>
      </c>
      <c r="AE7" s="9">
        <v>73.883101567495515</v>
      </c>
      <c r="AF7" s="9">
        <v>101.7646304147261</v>
      </c>
      <c r="AG7" s="9">
        <v>76.852090994282619</v>
      </c>
      <c r="AH7" s="9">
        <v>99.205012740419988</v>
      </c>
      <c r="AI7" s="9">
        <v>73.883101567495515</v>
      </c>
    </row>
    <row r="8" spans="1:35" ht="15" x14ac:dyDescent="0.4">
      <c r="A8" s="56">
        <v>45717</v>
      </c>
      <c r="B8" s="53">
        <v>2025</v>
      </c>
      <c r="C8" s="53">
        <v>3</v>
      </c>
      <c r="D8" s="5" t="s">
        <v>68</v>
      </c>
      <c r="E8" s="9">
        <v>510.44123108692997</v>
      </c>
      <c r="F8" s="9">
        <v>334.54361972855372</v>
      </c>
      <c r="G8" s="9">
        <v>175.89761135837631</v>
      </c>
      <c r="H8" s="9">
        <v>180</v>
      </c>
      <c r="I8" s="9">
        <v>1.53</v>
      </c>
      <c r="J8" s="9">
        <v>22.96985539891185</v>
      </c>
      <c r="K8" s="9">
        <v>9.1879421595647397</v>
      </c>
      <c r="L8" s="9">
        <v>17.86544308804255</v>
      </c>
      <c r="M8" s="9">
        <v>6.1252947730431604</v>
      </c>
      <c r="N8" s="9">
        <v>5.1044123108693</v>
      </c>
      <c r="O8" s="9">
        <v>516.64032184603047</v>
      </c>
      <c r="P8" s="9">
        <v>0.34499999999999997</v>
      </c>
      <c r="Q8" s="9">
        <v>338.39941080915003</v>
      </c>
      <c r="R8" s="9">
        <v>1.5606</v>
      </c>
      <c r="S8" s="9">
        <v>23.7654548049174</v>
      </c>
      <c r="T8" s="9">
        <v>9.8161661150745783</v>
      </c>
      <c r="U8" s="9">
        <v>17.565770942765042</v>
      </c>
      <c r="V8" s="9">
        <v>6.7163241839983963</v>
      </c>
      <c r="W8" s="5" t="s">
        <v>69</v>
      </c>
      <c r="X8" s="9">
        <v>510.44123108692997</v>
      </c>
      <c r="Y8" s="9">
        <v>334.54361972855372</v>
      </c>
      <c r="Z8" s="9">
        <v>1.53</v>
      </c>
      <c r="AA8" s="9">
        <v>22.96985539891185</v>
      </c>
      <c r="AB8" s="9">
        <v>9.1879421595647397</v>
      </c>
      <c r="AC8" s="9">
        <v>17.86544308804255</v>
      </c>
      <c r="AD8" s="9">
        <v>6.1252947730431604</v>
      </c>
      <c r="AE8" s="9">
        <v>124.3443707118572</v>
      </c>
      <c r="AF8" s="9">
        <v>178.2409110368805</v>
      </c>
      <c r="AG8" s="9">
        <v>125.53291917412351</v>
      </c>
      <c r="AH8" s="9">
        <v>175.89761135837631</v>
      </c>
      <c r="AI8" s="9">
        <v>124.3443707118571</v>
      </c>
    </row>
    <row r="9" spans="1:35" ht="15" x14ac:dyDescent="0.4">
      <c r="A9" s="56">
        <v>45717</v>
      </c>
      <c r="B9" s="53">
        <v>2025</v>
      </c>
      <c r="C9" s="53">
        <v>3</v>
      </c>
      <c r="D9" s="5" t="s">
        <v>70</v>
      </c>
      <c r="E9" s="9">
        <v>297.43619366555248</v>
      </c>
      <c r="F9" s="9">
        <v>176.74483088535101</v>
      </c>
      <c r="G9" s="9">
        <v>120.6913627802015</v>
      </c>
      <c r="H9" s="9">
        <v>105</v>
      </c>
      <c r="I9" s="9">
        <v>0.89250000000000007</v>
      </c>
      <c r="J9" s="9">
        <v>8.3282134226354696</v>
      </c>
      <c r="K9" s="9">
        <v>7.4359048416388127</v>
      </c>
      <c r="L9" s="9">
        <v>10.410266778294339</v>
      </c>
      <c r="M9" s="9">
        <v>3.5692343239866302</v>
      </c>
      <c r="N9" s="9">
        <v>2.9743619366555252</v>
      </c>
      <c r="O9" s="9">
        <v>296.3530001870086</v>
      </c>
      <c r="P9" s="9">
        <v>0.41499999999999998</v>
      </c>
      <c r="Q9" s="9">
        <v>173.36650510940001</v>
      </c>
      <c r="R9" s="9">
        <v>0.9103500000000001</v>
      </c>
      <c r="S9" s="9">
        <v>8.8905900056102585</v>
      </c>
      <c r="T9" s="9">
        <v>7.1124720044882066</v>
      </c>
      <c r="U9" s="9">
        <v>10.076002006358291</v>
      </c>
      <c r="V9" s="9">
        <v>3.8525890024311118</v>
      </c>
      <c r="W9" s="5" t="s">
        <v>69</v>
      </c>
      <c r="X9" s="9">
        <v>297.43619366555248</v>
      </c>
      <c r="Y9" s="9">
        <v>176.74483088535101</v>
      </c>
      <c r="Z9" s="9">
        <v>0.89250000000000007</v>
      </c>
      <c r="AA9" s="9">
        <v>8.3282134226354696</v>
      </c>
      <c r="AB9" s="9">
        <v>7.4359048416388127</v>
      </c>
      <c r="AC9" s="9">
        <v>10.410266778294339</v>
      </c>
      <c r="AD9" s="9">
        <v>3.5692343239866302</v>
      </c>
      <c r="AE9" s="9">
        <v>93.624477737632887</v>
      </c>
      <c r="AF9" s="9">
        <v>122.98649507760859</v>
      </c>
      <c r="AG9" s="9">
        <v>95.997081061151832</v>
      </c>
      <c r="AH9" s="9">
        <v>120.6913627802015</v>
      </c>
      <c r="AI9" s="9">
        <v>93.624477737632901</v>
      </c>
    </row>
    <row r="10" spans="1:35" ht="15" x14ac:dyDescent="0.4">
      <c r="A10" s="56">
        <v>45717</v>
      </c>
      <c r="B10" s="53">
        <v>2025</v>
      </c>
      <c r="C10" s="53">
        <v>3</v>
      </c>
      <c r="D10" s="5" t="s">
        <v>71</v>
      </c>
      <c r="E10" s="9">
        <v>178.02619095780381</v>
      </c>
      <c r="F10" s="9">
        <v>75.959115472606669</v>
      </c>
      <c r="G10" s="9">
        <v>102.06707548519719</v>
      </c>
      <c r="H10" s="9">
        <v>75</v>
      </c>
      <c r="I10" s="9">
        <v>0.75</v>
      </c>
      <c r="J10" s="9">
        <v>10.68157145746823</v>
      </c>
      <c r="K10" s="9">
        <v>8.9013095478901914</v>
      </c>
      <c r="L10" s="9">
        <v>6.2309166835231347</v>
      </c>
      <c r="M10" s="9">
        <v>3.204471437240469</v>
      </c>
      <c r="N10" s="9">
        <v>1.6954875329314649</v>
      </c>
      <c r="O10" s="9">
        <v>175.330110159432</v>
      </c>
      <c r="P10" s="9">
        <v>0.59</v>
      </c>
      <c r="Q10" s="9">
        <v>71.885345165367141</v>
      </c>
      <c r="R10" s="9">
        <v>0.76500000000000001</v>
      </c>
      <c r="S10" s="9">
        <v>10.169146389247061</v>
      </c>
      <c r="T10" s="9">
        <v>8.4158452876527381</v>
      </c>
      <c r="U10" s="9">
        <v>5.9612237454206891</v>
      </c>
      <c r="V10" s="9">
        <v>3.506602203188641</v>
      </c>
      <c r="W10" s="5" t="s">
        <v>69</v>
      </c>
      <c r="X10" s="9">
        <v>178.02619095780381</v>
      </c>
      <c r="Y10" s="9">
        <v>75.959115472606669</v>
      </c>
      <c r="Z10" s="9">
        <v>0.75</v>
      </c>
      <c r="AA10" s="9">
        <v>10.68157145746823</v>
      </c>
      <c r="AB10" s="9">
        <v>8.9013095478901914</v>
      </c>
      <c r="AC10" s="9">
        <v>6.2309166835231347</v>
      </c>
      <c r="AD10" s="9">
        <v>3.204471437240469</v>
      </c>
      <c r="AE10" s="9">
        <v>75.503277796315601</v>
      </c>
      <c r="AF10" s="9">
        <v>103.4447649940649</v>
      </c>
      <c r="AG10" s="9">
        <v>78.133549571744396</v>
      </c>
      <c r="AH10" s="9">
        <v>102.06707548519719</v>
      </c>
      <c r="AI10" s="9">
        <v>75.503277796315601</v>
      </c>
    </row>
    <row r="11" spans="1:35" ht="15" x14ac:dyDescent="0.4">
      <c r="A11" s="56">
        <v>45748</v>
      </c>
      <c r="B11" s="53">
        <v>2025</v>
      </c>
      <c r="C11" s="53">
        <v>4</v>
      </c>
      <c r="D11" s="5" t="s">
        <v>68</v>
      </c>
      <c r="E11" s="9">
        <v>531.20728597542779</v>
      </c>
      <c r="F11" s="9">
        <v>350.70501445509569</v>
      </c>
      <c r="G11" s="9">
        <v>180.50227152033199</v>
      </c>
      <c r="H11" s="9">
        <v>180</v>
      </c>
      <c r="I11" s="9">
        <v>1.53</v>
      </c>
      <c r="J11" s="9">
        <v>23.904327868894249</v>
      </c>
      <c r="K11" s="9">
        <v>9.5617311475576994</v>
      </c>
      <c r="L11" s="9">
        <v>18.592255009139979</v>
      </c>
      <c r="M11" s="9">
        <v>6.3744874317051341</v>
      </c>
      <c r="N11" s="9">
        <v>5.3120728597542781</v>
      </c>
      <c r="O11" s="9">
        <v>534.52544978356912</v>
      </c>
      <c r="P11" s="9">
        <v>0.34499999999999997</v>
      </c>
      <c r="Q11" s="9">
        <v>350.11416960823777</v>
      </c>
      <c r="R11" s="9">
        <v>1.5606</v>
      </c>
      <c r="S11" s="9">
        <v>24.58817069004418</v>
      </c>
      <c r="T11" s="9">
        <v>10.15598354588781</v>
      </c>
      <c r="U11" s="9">
        <v>18.173865292641349</v>
      </c>
      <c r="V11" s="9">
        <v>6.9488308471863984</v>
      </c>
      <c r="W11" s="5" t="s">
        <v>69</v>
      </c>
      <c r="X11" s="9">
        <v>531.20728597542779</v>
      </c>
      <c r="Y11" s="9">
        <v>350.70501445509569</v>
      </c>
      <c r="Z11" s="9">
        <v>1.53</v>
      </c>
      <c r="AA11" s="9">
        <v>23.904327868894249</v>
      </c>
      <c r="AB11" s="9">
        <v>9.5617311475576994</v>
      </c>
      <c r="AC11" s="9">
        <v>18.592255009139979</v>
      </c>
      <c r="AD11" s="9">
        <v>6.3744874317051341</v>
      </c>
      <c r="AE11" s="9">
        <v>126.9139574947401</v>
      </c>
      <c r="AF11" s="9">
        <v>184.41128017533131</v>
      </c>
      <c r="AG11" s="9">
        <v>129.93266064675799</v>
      </c>
      <c r="AH11" s="9">
        <v>180.50227152033199</v>
      </c>
      <c r="AI11" s="9">
        <v>126.9139574947401</v>
      </c>
    </row>
    <row r="12" spans="1:35" ht="15" x14ac:dyDescent="0.4">
      <c r="A12" s="56">
        <v>45748</v>
      </c>
      <c r="B12" s="53">
        <v>2025</v>
      </c>
      <c r="C12" s="53">
        <v>4</v>
      </c>
      <c r="D12" s="5" t="s">
        <v>70</v>
      </c>
      <c r="E12" s="9">
        <v>298.49408686050123</v>
      </c>
      <c r="F12" s="9">
        <v>177.1115181851558</v>
      </c>
      <c r="G12" s="9">
        <v>121.3825686753454</v>
      </c>
      <c r="H12" s="9">
        <v>105</v>
      </c>
      <c r="I12" s="9">
        <v>0.89250000000000007</v>
      </c>
      <c r="J12" s="9">
        <v>8.3578344320940321</v>
      </c>
      <c r="K12" s="9">
        <v>7.4623521715125296</v>
      </c>
      <c r="L12" s="9">
        <v>10.44729304011754</v>
      </c>
      <c r="M12" s="9">
        <v>3.5819290423260139</v>
      </c>
      <c r="N12" s="9">
        <v>2.9849408686050118</v>
      </c>
      <c r="O12" s="9">
        <v>302.68253024228892</v>
      </c>
      <c r="P12" s="9">
        <v>0.41499999999999998</v>
      </c>
      <c r="Q12" s="9">
        <v>177.06928019173901</v>
      </c>
      <c r="R12" s="9">
        <v>0.9103500000000001</v>
      </c>
      <c r="S12" s="9">
        <v>9.0804759072686672</v>
      </c>
      <c r="T12" s="9">
        <v>7.2643807258149344</v>
      </c>
      <c r="U12" s="9">
        <v>10.29120602823782</v>
      </c>
      <c r="V12" s="9">
        <v>3.9348728931497559</v>
      </c>
      <c r="W12" s="5" t="s">
        <v>69</v>
      </c>
      <c r="X12" s="9">
        <v>298.49408686050123</v>
      </c>
      <c r="Y12" s="9">
        <v>177.1115181851558</v>
      </c>
      <c r="Z12" s="9">
        <v>0.89250000000000007</v>
      </c>
      <c r="AA12" s="9">
        <v>8.3578344320940321</v>
      </c>
      <c r="AB12" s="9">
        <v>7.4623521715125296</v>
      </c>
      <c r="AC12" s="9">
        <v>10.44729304011754</v>
      </c>
      <c r="AD12" s="9">
        <v>3.5819290423260139</v>
      </c>
      <c r="AE12" s="9">
        <v>94.22258903162124</v>
      </c>
      <c r="AF12" s="9">
        <v>125.61325005054989</v>
      </c>
      <c r="AG12" s="9">
        <v>98.066837389228496</v>
      </c>
      <c r="AH12" s="9">
        <v>121.3825686753453</v>
      </c>
      <c r="AI12" s="9">
        <v>94.222589031621226</v>
      </c>
    </row>
    <row r="13" spans="1:35" ht="15" x14ac:dyDescent="0.4">
      <c r="A13" s="56">
        <v>45748</v>
      </c>
      <c r="B13" s="53">
        <v>2025</v>
      </c>
      <c r="C13" s="53">
        <v>4</v>
      </c>
      <c r="D13" s="5" t="s">
        <v>71</v>
      </c>
      <c r="E13" s="9">
        <v>185.42723544962351</v>
      </c>
      <c r="F13" s="9">
        <v>78.07887055244403</v>
      </c>
      <c r="G13" s="9">
        <v>107.34836489717949</v>
      </c>
      <c r="H13" s="9">
        <v>75</v>
      </c>
      <c r="I13" s="9">
        <v>0.75</v>
      </c>
      <c r="J13" s="9">
        <v>11.12563412697741</v>
      </c>
      <c r="K13" s="9">
        <v>9.2713617724811765</v>
      </c>
      <c r="L13" s="9">
        <v>6.4899532407368241</v>
      </c>
      <c r="M13" s="9">
        <v>3.3376902380932241</v>
      </c>
      <c r="N13" s="9">
        <v>1.7659736709487961</v>
      </c>
      <c r="O13" s="9">
        <v>194.10944639555649</v>
      </c>
      <c r="P13" s="9">
        <v>0.59</v>
      </c>
      <c r="Q13" s="9">
        <v>79.584873022178172</v>
      </c>
      <c r="R13" s="9">
        <v>0.76500000000000001</v>
      </c>
      <c r="S13" s="9">
        <v>11.258347890942281</v>
      </c>
      <c r="T13" s="9">
        <v>9.3172534269867118</v>
      </c>
      <c r="U13" s="9">
        <v>6.5997211774489211</v>
      </c>
      <c r="V13" s="9">
        <v>3.8821889279111299</v>
      </c>
      <c r="W13" s="5" t="s">
        <v>69</v>
      </c>
      <c r="X13" s="9">
        <v>185.42723544962351</v>
      </c>
      <c r="Y13" s="9">
        <v>78.07887055244403</v>
      </c>
      <c r="Z13" s="9">
        <v>0.75</v>
      </c>
      <c r="AA13" s="9">
        <v>11.12563412697741</v>
      </c>
      <c r="AB13" s="9">
        <v>9.2713617724811765</v>
      </c>
      <c r="AC13" s="9">
        <v>6.4899532407368241</v>
      </c>
      <c r="AD13" s="9">
        <v>3.3376902380932241</v>
      </c>
      <c r="AE13" s="9">
        <v>79.711415756984096</v>
      </c>
      <c r="AF13" s="9">
        <v>114.5245733733783</v>
      </c>
      <c r="AG13" s="9">
        <v>86.584250878000404</v>
      </c>
      <c r="AH13" s="9">
        <v>107.34836489717949</v>
      </c>
      <c r="AI13" s="9">
        <v>79.711415756984096</v>
      </c>
    </row>
    <row r="14" spans="1:35" ht="15" x14ac:dyDescent="0.4">
      <c r="A14" s="56">
        <v>45778</v>
      </c>
      <c r="B14" s="53">
        <v>2025</v>
      </c>
      <c r="C14" s="53">
        <v>5</v>
      </c>
      <c r="D14" s="5" t="s">
        <v>68</v>
      </c>
      <c r="E14" s="9">
        <v>519.26739665201137</v>
      </c>
      <c r="F14" s="9">
        <v>343.46251579623379</v>
      </c>
      <c r="G14" s="9">
        <v>175.80488085577761</v>
      </c>
      <c r="H14" s="9">
        <v>180</v>
      </c>
      <c r="I14" s="9">
        <v>1.53</v>
      </c>
      <c r="J14" s="9">
        <v>23.367032849340511</v>
      </c>
      <c r="K14" s="9">
        <v>9.346813139736204</v>
      </c>
      <c r="L14" s="9">
        <v>18.1743588828204</v>
      </c>
      <c r="M14" s="9">
        <v>6.2312087598241366</v>
      </c>
      <c r="N14" s="9">
        <v>5.1926739665201138</v>
      </c>
      <c r="O14" s="9">
        <v>528.27405921086711</v>
      </c>
      <c r="P14" s="9">
        <v>0.34499999999999997</v>
      </c>
      <c r="Q14" s="9">
        <v>346.01950878311789</v>
      </c>
      <c r="R14" s="9">
        <v>1.5606</v>
      </c>
      <c r="S14" s="9">
        <v>24.300606723699889</v>
      </c>
      <c r="T14" s="9">
        <v>10.03720712500647</v>
      </c>
      <c r="U14" s="9">
        <v>17.961318013169478</v>
      </c>
      <c r="V14" s="9">
        <v>6.867562769741272</v>
      </c>
      <c r="W14" s="5" t="s">
        <v>69</v>
      </c>
      <c r="X14" s="9">
        <v>519.26739665201137</v>
      </c>
      <c r="Y14" s="9">
        <v>343.46251579623379</v>
      </c>
      <c r="Z14" s="9">
        <v>1.53</v>
      </c>
      <c r="AA14" s="9">
        <v>23.367032849340511</v>
      </c>
      <c r="AB14" s="9">
        <v>9.346813139736204</v>
      </c>
      <c r="AC14" s="9">
        <v>18.1743588828204</v>
      </c>
      <c r="AD14" s="9">
        <v>6.2312087598241366</v>
      </c>
      <c r="AE14" s="9">
        <v>123.38667598388049</v>
      </c>
      <c r="AF14" s="9">
        <v>182.25455042774919</v>
      </c>
      <c r="AG14" s="9">
        <v>128.39481856587329</v>
      </c>
      <c r="AH14" s="9">
        <v>175.80488085577761</v>
      </c>
      <c r="AI14" s="9">
        <v>123.38667598388049</v>
      </c>
    </row>
    <row r="15" spans="1:35" ht="15" x14ac:dyDescent="0.4">
      <c r="A15" s="56">
        <v>45778</v>
      </c>
      <c r="B15" s="53">
        <v>2025</v>
      </c>
      <c r="C15" s="53">
        <v>5</v>
      </c>
      <c r="D15" s="5" t="s">
        <v>70</v>
      </c>
      <c r="E15" s="9">
        <v>306.84984668923158</v>
      </c>
      <c r="F15" s="9">
        <v>180.48969818743851</v>
      </c>
      <c r="G15" s="9">
        <v>126.36014850179311</v>
      </c>
      <c r="H15" s="9">
        <v>105</v>
      </c>
      <c r="I15" s="9">
        <v>0.89250000000000007</v>
      </c>
      <c r="J15" s="9">
        <v>8.5917957072984859</v>
      </c>
      <c r="K15" s="9">
        <v>7.671246167230791</v>
      </c>
      <c r="L15" s="9">
        <v>10.73974463412311</v>
      </c>
      <c r="M15" s="9">
        <v>3.6821981602707798</v>
      </c>
      <c r="N15" s="9">
        <v>3.0684984668923159</v>
      </c>
      <c r="O15" s="9">
        <v>316.88055681884191</v>
      </c>
      <c r="P15" s="9">
        <v>0.41499999999999998</v>
      </c>
      <c r="Q15" s="9">
        <v>185.37512573902251</v>
      </c>
      <c r="R15" s="9">
        <v>0.9103500000000001</v>
      </c>
      <c r="S15" s="9">
        <v>9.5064167045652557</v>
      </c>
      <c r="T15" s="9">
        <v>7.6051333636522047</v>
      </c>
      <c r="U15" s="9">
        <v>10.77393893184062</v>
      </c>
      <c r="V15" s="9">
        <v>4.1194472386449439</v>
      </c>
      <c r="W15" s="5" t="s">
        <v>69</v>
      </c>
      <c r="X15" s="9">
        <v>306.84984668923158</v>
      </c>
      <c r="Y15" s="9">
        <v>180.48969818743851</v>
      </c>
      <c r="Z15" s="9">
        <v>0.89250000000000007</v>
      </c>
      <c r="AA15" s="9">
        <v>8.5917957072984859</v>
      </c>
      <c r="AB15" s="9">
        <v>7.671246167230791</v>
      </c>
      <c r="AC15" s="9">
        <v>10.73974463412311</v>
      </c>
      <c r="AD15" s="9">
        <v>3.6821981602707798</v>
      </c>
      <c r="AE15" s="9">
        <v>98.46486199314073</v>
      </c>
      <c r="AF15" s="9">
        <v>131.5054310798194</v>
      </c>
      <c r="AG15" s="9">
        <v>102.70959207976129</v>
      </c>
      <c r="AH15" s="9">
        <v>126.36014850179311</v>
      </c>
      <c r="AI15" s="9">
        <v>98.464861993140715</v>
      </c>
    </row>
    <row r="16" spans="1:35" ht="15" x14ac:dyDescent="0.4">
      <c r="A16" s="56">
        <v>45778</v>
      </c>
      <c r="B16" s="53">
        <v>2025</v>
      </c>
      <c r="C16" s="53">
        <v>5</v>
      </c>
      <c r="D16" s="5" t="s">
        <v>71</v>
      </c>
      <c r="E16" s="9">
        <v>183.56675534165251</v>
      </c>
      <c r="F16" s="9">
        <v>76.547609724453906</v>
      </c>
      <c r="G16" s="9">
        <v>107.0191456171986</v>
      </c>
      <c r="H16" s="9">
        <v>75</v>
      </c>
      <c r="I16" s="9">
        <v>0.75</v>
      </c>
      <c r="J16" s="9">
        <v>11.01400532049915</v>
      </c>
      <c r="K16" s="9">
        <v>9.1783377670826241</v>
      </c>
      <c r="L16" s="9">
        <v>6.424836436957837</v>
      </c>
      <c r="M16" s="9">
        <v>3.3042015961497451</v>
      </c>
      <c r="N16" s="9">
        <v>1.7482548127776429</v>
      </c>
      <c r="O16" s="9">
        <v>184.67048335813371</v>
      </c>
      <c r="P16" s="9">
        <v>0.59</v>
      </c>
      <c r="Q16" s="9">
        <v>75.714898176834808</v>
      </c>
      <c r="R16" s="9">
        <v>0.76500000000000001</v>
      </c>
      <c r="S16" s="9">
        <v>10.710888034771751</v>
      </c>
      <c r="T16" s="9">
        <v>8.864183201190416</v>
      </c>
      <c r="U16" s="9">
        <v>6.2787964341765452</v>
      </c>
      <c r="V16" s="9">
        <v>3.693409667162673</v>
      </c>
      <c r="W16" s="5" t="s">
        <v>69</v>
      </c>
      <c r="X16" s="9">
        <v>183.56675534165251</v>
      </c>
      <c r="Y16" s="9">
        <v>76.547609724453906</v>
      </c>
      <c r="Z16" s="9">
        <v>0.75</v>
      </c>
      <c r="AA16" s="9">
        <v>11.01400532049915</v>
      </c>
      <c r="AB16" s="9">
        <v>9.1783377670826241</v>
      </c>
      <c r="AC16" s="9">
        <v>6.424836436957837</v>
      </c>
      <c r="AD16" s="9">
        <v>3.3042015961497451</v>
      </c>
      <c r="AE16" s="9">
        <v>79.651966092658967</v>
      </c>
      <c r="AF16" s="9">
        <v>108.9555851812989</v>
      </c>
      <c r="AG16" s="9">
        <v>82.33671751116016</v>
      </c>
      <c r="AH16" s="9">
        <v>107.0191456171986</v>
      </c>
      <c r="AI16" s="9">
        <v>79.651966092658967</v>
      </c>
    </row>
    <row r="17" spans="1:35" ht="15" x14ac:dyDescent="0.4">
      <c r="A17" s="56">
        <v>45809</v>
      </c>
      <c r="B17" s="53">
        <v>2025</v>
      </c>
      <c r="C17" s="53">
        <v>6</v>
      </c>
      <c r="D17" s="5" t="s">
        <v>68</v>
      </c>
      <c r="E17" s="9">
        <v>563.72881995684418</v>
      </c>
      <c r="F17" s="9">
        <v>372.99578123052208</v>
      </c>
      <c r="G17" s="9">
        <v>190.73303872632209</v>
      </c>
      <c r="H17" s="9">
        <v>180</v>
      </c>
      <c r="I17" s="9">
        <v>1.53</v>
      </c>
      <c r="J17" s="9">
        <v>25.367796898057989</v>
      </c>
      <c r="K17" s="9">
        <v>10.147118759223201</v>
      </c>
      <c r="L17" s="9">
        <v>19.730508698489551</v>
      </c>
      <c r="M17" s="9">
        <v>6.7647458394821296</v>
      </c>
      <c r="N17" s="9">
        <v>5.6372881995684416</v>
      </c>
      <c r="O17" s="9">
        <v>560.16098713536212</v>
      </c>
      <c r="P17" s="9">
        <v>0.34499999999999997</v>
      </c>
      <c r="Q17" s="9">
        <v>366.90544657366218</v>
      </c>
      <c r="R17" s="9">
        <v>1.5606</v>
      </c>
      <c r="S17" s="9">
        <v>25.767405408226661</v>
      </c>
      <c r="T17" s="9">
        <v>10.643058755571881</v>
      </c>
      <c r="U17" s="9">
        <v>19.045473562602311</v>
      </c>
      <c r="V17" s="9">
        <v>7.282092832759707</v>
      </c>
      <c r="W17" s="5" t="s">
        <v>69</v>
      </c>
      <c r="X17" s="9">
        <v>563.72881995684418</v>
      </c>
      <c r="Y17" s="9">
        <v>372.99578123052208</v>
      </c>
      <c r="Z17" s="9">
        <v>1.53</v>
      </c>
      <c r="AA17" s="9">
        <v>25.367796898057989</v>
      </c>
      <c r="AB17" s="9">
        <v>10.147118759223201</v>
      </c>
      <c r="AC17" s="9">
        <v>19.730508698489551</v>
      </c>
      <c r="AD17" s="9">
        <v>6.7647458394821296</v>
      </c>
      <c r="AE17" s="9">
        <v>133.9576143705514</v>
      </c>
      <c r="AF17" s="9">
        <v>193.25554056169989</v>
      </c>
      <c r="AG17" s="9">
        <v>136.239002835299</v>
      </c>
      <c r="AH17" s="9">
        <v>190.73303872632209</v>
      </c>
      <c r="AI17" s="9">
        <v>133.9576143705514</v>
      </c>
    </row>
    <row r="18" spans="1:35" ht="15" x14ac:dyDescent="0.4">
      <c r="A18" s="56">
        <v>45809</v>
      </c>
      <c r="B18" s="53">
        <v>2025</v>
      </c>
      <c r="C18" s="53">
        <v>6</v>
      </c>
      <c r="D18" s="5" t="s">
        <v>70</v>
      </c>
      <c r="E18" s="9">
        <v>304.74676673839042</v>
      </c>
      <c r="F18" s="9">
        <v>181.02072584599401</v>
      </c>
      <c r="G18" s="9">
        <v>123.7260408923964</v>
      </c>
      <c r="H18" s="9">
        <v>105</v>
      </c>
      <c r="I18" s="9">
        <v>0.89250000000000007</v>
      </c>
      <c r="J18" s="9">
        <v>8.5329094686749318</v>
      </c>
      <c r="K18" s="9">
        <v>7.6186691684597596</v>
      </c>
      <c r="L18" s="9">
        <v>10.66613683584367</v>
      </c>
      <c r="M18" s="9">
        <v>3.6569612008606849</v>
      </c>
      <c r="N18" s="9">
        <v>3.0474676673839038</v>
      </c>
      <c r="O18" s="9">
        <v>304.02387640879022</v>
      </c>
      <c r="P18" s="9">
        <v>0.41499999999999998</v>
      </c>
      <c r="Q18" s="9">
        <v>177.8539676991422</v>
      </c>
      <c r="R18" s="9">
        <v>0.9103500000000001</v>
      </c>
      <c r="S18" s="9">
        <v>9.1207162922637046</v>
      </c>
      <c r="T18" s="9">
        <v>7.2965730338109642</v>
      </c>
      <c r="U18" s="9">
        <v>10.33681179789887</v>
      </c>
      <c r="V18" s="9">
        <v>3.952310393314272</v>
      </c>
      <c r="W18" s="5" t="s">
        <v>69</v>
      </c>
      <c r="X18" s="9">
        <v>304.74676673839042</v>
      </c>
      <c r="Y18" s="9">
        <v>181.02072584599401</v>
      </c>
      <c r="Z18" s="9">
        <v>0.89250000000000007</v>
      </c>
      <c r="AA18" s="9">
        <v>8.5329094686749318</v>
      </c>
      <c r="AB18" s="9">
        <v>7.6186691684597596</v>
      </c>
      <c r="AC18" s="9">
        <v>10.66613683584367</v>
      </c>
      <c r="AD18" s="9">
        <v>3.6569612008606849</v>
      </c>
      <c r="AE18" s="9">
        <v>96.015825419418093</v>
      </c>
      <c r="AF18" s="9">
        <v>126.1699087096479</v>
      </c>
      <c r="AG18" s="9">
        <v>98.505457585674407</v>
      </c>
      <c r="AH18" s="9">
        <v>123.7260408923964</v>
      </c>
      <c r="AI18" s="9">
        <v>96.015825419418093</v>
      </c>
    </row>
    <row r="19" spans="1:35" ht="15" x14ac:dyDescent="0.4">
      <c r="A19" s="56">
        <v>45809</v>
      </c>
      <c r="B19" s="53">
        <v>2025</v>
      </c>
      <c r="C19" s="53">
        <v>6</v>
      </c>
      <c r="D19" s="5" t="s">
        <v>71</v>
      </c>
      <c r="E19" s="9">
        <v>188.07229271623581</v>
      </c>
      <c r="F19" s="9">
        <v>77.512557224583404</v>
      </c>
      <c r="G19" s="9">
        <v>110.5597354916524</v>
      </c>
      <c r="H19" s="9">
        <v>75</v>
      </c>
      <c r="I19" s="9">
        <v>0.75</v>
      </c>
      <c r="J19" s="9">
        <v>11.28433756297415</v>
      </c>
      <c r="K19" s="9">
        <v>9.4036146358117918</v>
      </c>
      <c r="L19" s="9">
        <v>6.5825302450682548</v>
      </c>
      <c r="M19" s="9">
        <v>3.385301268892245</v>
      </c>
      <c r="N19" s="9">
        <v>1.7911646925355791</v>
      </c>
      <c r="O19" s="9">
        <v>188.43826839047281</v>
      </c>
      <c r="P19" s="9">
        <v>0.59</v>
      </c>
      <c r="Q19" s="9">
        <v>77.25969004009383</v>
      </c>
      <c r="R19" s="9">
        <v>0.76500000000000001</v>
      </c>
      <c r="S19" s="9">
        <v>10.92941956664742</v>
      </c>
      <c r="T19" s="9">
        <v>9.0450368827426928</v>
      </c>
      <c r="U19" s="9">
        <v>6.4069011252760744</v>
      </c>
      <c r="V19" s="9">
        <v>3.768765367809455</v>
      </c>
      <c r="W19" s="5" t="s">
        <v>69</v>
      </c>
      <c r="X19" s="9">
        <v>188.07229271623581</v>
      </c>
      <c r="Y19" s="9">
        <v>77.512557224583404</v>
      </c>
      <c r="Z19" s="9">
        <v>0.75</v>
      </c>
      <c r="AA19" s="9">
        <v>11.28433756297415</v>
      </c>
      <c r="AB19" s="9">
        <v>9.4036146358117918</v>
      </c>
      <c r="AC19" s="9">
        <v>6.5825302450682548</v>
      </c>
      <c r="AD19" s="9">
        <v>3.385301268892245</v>
      </c>
      <c r="AE19" s="9">
        <v>82.53925304779824</v>
      </c>
      <c r="AF19" s="9">
        <v>111.1785783503789</v>
      </c>
      <c r="AG19" s="9">
        <v>84.03222077571273</v>
      </c>
      <c r="AH19" s="9">
        <v>110.5597354916524</v>
      </c>
      <c r="AI19" s="9">
        <v>82.53925304779824</v>
      </c>
    </row>
    <row r="20" spans="1:35" ht="15" x14ac:dyDescent="0.4">
      <c r="A20" s="56">
        <v>45839</v>
      </c>
      <c r="B20" s="53">
        <v>2025</v>
      </c>
      <c r="C20" s="53">
        <v>7</v>
      </c>
      <c r="D20" s="5" t="s">
        <v>68</v>
      </c>
      <c r="E20" s="9">
        <v>508.14830938947688</v>
      </c>
      <c r="F20" s="9">
        <v>337.11973449809051</v>
      </c>
      <c r="G20" s="9">
        <v>171.0285748913864</v>
      </c>
      <c r="H20" s="9">
        <v>180</v>
      </c>
      <c r="I20" s="9">
        <v>1.53</v>
      </c>
      <c r="J20" s="9">
        <v>22.866673922526459</v>
      </c>
      <c r="K20" s="9">
        <v>9.1466695690105837</v>
      </c>
      <c r="L20" s="9">
        <v>17.785190828631691</v>
      </c>
      <c r="M20" s="9">
        <v>6.0977797126737228</v>
      </c>
      <c r="N20" s="9">
        <v>5.0814830938947688</v>
      </c>
      <c r="O20" s="9">
        <v>535.23894336054377</v>
      </c>
      <c r="P20" s="9">
        <v>0.34499999999999997</v>
      </c>
      <c r="Q20" s="9">
        <v>350.58150790115621</v>
      </c>
      <c r="R20" s="9">
        <v>1.5606</v>
      </c>
      <c r="S20" s="9">
        <v>24.620991394585008</v>
      </c>
      <c r="T20" s="9">
        <v>10.16953992385033</v>
      </c>
      <c r="U20" s="9">
        <v>18.198124074258491</v>
      </c>
      <c r="V20" s="9">
        <v>6.9581062636870694</v>
      </c>
      <c r="W20" s="5" t="s">
        <v>69</v>
      </c>
      <c r="X20" s="9">
        <v>508.14830938947688</v>
      </c>
      <c r="Y20" s="9">
        <v>337.11973449809051</v>
      </c>
      <c r="Z20" s="9">
        <v>1.53</v>
      </c>
      <c r="AA20" s="9">
        <v>22.866673922526459</v>
      </c>
      <c r="AB20" s="9">
        <v>9.1466695690105837</v>
      </c>
      <c r="AC20" s="9">
        <v>17.785190828631691</v>
      </c>
      <c r="AD20" s="9">
        <v>6.0977797126737228</v>
      </c>
      <c r="AE20" s="9">
        <v>119.7000405712176</v>
      </c>
      <c r="AF20" s="9">
        <v>184.65743545938761</v>
      </c>
      <c r="AG20" s="9">
        <v>130.10818006669379</v>
      </c>
      <c r="AH20" s="9">
        <v>171.0285748913864</v>
      </c>
      <c r="AI20" s="9">
        <v>119.7000405712176</v>
      </c>
    </row>
    <row r="21" spans="1:35" ht="15" x14ac:dyDescent="0.4">
      <c r="A21" s="56">
        <v>45839</v>
      </c>
      <c r="B21" s="53">
        <v>2025</v>
      </c>
      <c r="C21" s="53">
        <v>7</v>
      </c>
      <c r="D21" s="5" t="s">
        <v>70</v>
      </c>
      <c r="E21" s="9">
        <v>287.9400630646694</v>
      </c>
      <c r="F21" s="9">
        <v>168.96296510464509</v>
      </c>
      <c r="G21" s="9">
        <v>118.9770979600243</v>
      </c>
      <c r="H21" s="9">
        <v>105</v>
      </c>
      <c r="I21" s="9">
        <v>0.89250000000000007</v>
      </c>
      <c r="J21" s="9">
        <v>8.0623217658107436</v>
      </c>
      <c r="K21" s="9">
        <v>7.1985015766167351</v>
      </c>
      <c r="L21" s="9">
        <v>10.077902207263429</v>
      </c>
      <c r="M21" s="9">
        <v>3.4552807567760331</v>
      </c>
      <c r="N21" s="9">
        <v>2.8794006306466939</v>
      </c>
      <c r="O21" s="9">
        <v>288.00198163074509</v>
      </c>
      <c r="P21" s="9">
        <v>0.41499999999999998</v>
      </c>
      <c r="Q21" s="9">
        <v>168.48115925398591</v>
      </c>
      <c r="R21" s="9">
        <v>0.9103500000000001</v>
      </c>
      <c r="S21" s="9">
        <v>8.6400594489223543</v>
      </c>
      <c r="T21" s="9">
        <v>6.9120475591378838</v>
      </c>
      <c r="U21" s="9">
        <v>9.7920673754453365</v>
      </c>
      <c r="V21" s="9">
        <v>3.744025761199687</v>
      </c>
      <c r="W21" s="5" t="s">
        <v>69</v>
      </c>
      <c r="X21" s="9">
        <v>287.9400630646694</v>
      </c>
      <c r="Y21" s="9">
        <v>168.96296510464509</v>
      </c>
      <c r="Z21" s="9">
        <v>0.89250000000000007</v>
      </c>
      <c r="AA21" s="9">
        <v>8.0623217658107436</v>
      </c>
      <c r="AB21" s="9">
        <v>7.1985015766167351</v>
      </c>
      <c r="AC21" s="9">
        <v>10.077902207263429</v>
      </c>
      <c r="AD21" s="9">
        <v>3.4552807567760331</v>
      </c>
      <c r="AE21" s="9">
        <v>92.745872410333391</v>
      </c>
      <c r="AF21" s="9">
        <v>119.5208223767592</v>
      </c>
      <c r="AG21" s="9">
        <v>93.266297993253659</v>
      </c>
      <c r="AH21" s="9">
        <v>118.9770979600243</v>
      </c>
      <c r="AI21" s="9">
        <v>92.745872410333391</v>
      </c>
    </row>
    <row r="22" spans="1:35" ht="15" x14ac:dyDescent="0.4">
      <c r="A22" s="56">
        <v>45839</v>
      </c>
      <c r="B22" s="53">
        <v>2025</v>
      </c>
      <c r="C22" s="53">
        <v>7</v>
      </c>
      <c r="D22" s="5" t="s">
        <v>71</v>
      </c>
      <c r="E22" s="9">
        <v>179.67775089500719</v>
      </c>
      <c r="F22" s="9">
        <v>74.785409924169045</v>
      </c>
      <c r="G22" s="9">
        <v>104.89234097083811</v>
      </c>
      <c r="H22" s="9">
        <v>75</v>
      </c>
      <c r="I22" s="9">
        <v>0.75</v>
      </c>
      <c r="J22" s="9">
        <v>10.78066505370043</v>
      </c>
      <c r="K22" s="9">
        <v>8.9838875447503597</v>
      </c>
      <c r="L22" s="9">
        <v>6.2887212813252527</v>
      </c>
      <c r="M22" s="9">
        <v>3.2341995161101291</v>
      </c>
      <c r="N22" s="9">
        <v>1.7112166751905451</v>
      </c>
      <c r="O22" s="9">
        <v>185.08475853542001</v>
      </c>
      <c r="P22" s="9">
        <v>0.59</v>
      </c>
      <c r="Q22" s="9">
        <v>75.884750999522183</v>
      </c>
      <c r="R22" s="9">
        <v>0.76500000000000001</v>
      </c>
      <c r="S22" s="9">
        <v>10.73491599505436</v>
      </c>
      <c r="T22" s="9">
        <v>8.8840684097001574</v>
      </c>
      <c r="U22" s="9">
        <v>6.2928817902042784</v>
      </c>
      <c r="V22" s="9">
        <v>3.7016951707083989</v>
      </c>
      <c r="W22" s="5" t="s">
        <v>69</v>
      </c>
      <c r="X22" s="9">
        <v>179.67775089500719</v>
      </c>
      <c r="Y22" s="9">
        <v>74.785409924169045</v>
      </c>
      <c r="Z22" s="9">
        <v>0.75</v>
      </c>
      <c r="AA22" s="9">
        <v>10.78066505370043</v>
      </c>
      <c r="AB22" s="9">
        <v>8.9838875447503597</v>
      </c>
      <c r="AC22" s="9">
        <v>6.2887212813252527</v>
      </c>
      <c r="AD22" s="9">
        <v>3.2341995161101291</v>
      </c>
      <c r="AE22" s="9">
        <v>78.089067091062105</v>
      </c>
      <c r="AF22" s="9">
        <v>109.2000075358978</v>
      </c>
      <c r="AG22" s="9">
        <v>82.523141340938963</v>
      </c>
      <c r="AH22" s="9">
        <v>104.89234097083811</v>
      </c>
      <c r="AI22" s="9">
        <v>78.089067091062105</v>
      </c>
    </row>
    <row r="23" spans="1:35" ht="15" x14ac:dyDescent="0.4">
      <c r="A23" s="56">
        <v>45870</v>
      </c>
      <c r="B23" s="53">
        <v>2025</v>
      </c>
      <c r="C23" s="53">
        <v>8</v>
      </c>
      <c r="D23" s="5" t="s">
        <v>68</v>
      </c>
      <c r="E23" s="9">
        <v>506.13262039243352</v>
      </c>
      <c r="F23" s="9">
        <v>333.56811143031217</v>
      </c>
      <c r="G23" s="9">
        <v>172.56450896212129</v>
      </c>
      <c r="H23" s="9">
        <v>180</v>
      </c>
      <c r="I23" s="9">
        <v>1.53</v>
      </c>
      <c r="J23" s="9">
        <v>22.7759679176595</v>
      </c>
      <c r="K23" s="9">
        <v>9.1103871670638021</v>
      </c>
      <c r="L23" s="9">
        <v>17.714641713735169</v>
      </c>
      <c r="M23" s="9">
        <v>6.0735914447092014</v>
      </c>
      <c r="N23" s="9">
        <v>5.0613262039243354</v>
      </c>
      <c r="O23" s="9">
        <v>505.49859352228282</v>
      </c>
      <c r="P23" s="9">
        <v>0.34499999999999997</v>
      </c>
      <c r="Q23" s="9">
        <v>331.10157875709518</v>
      </c>
      <c r="R23" s="9">
        <v>1.5606</v>
      </c>
      <c r="S23" s="9">
        <v>23.252935302025008</v>
      </c>
      <c r="T23" s="9">
        <v>9.6044732769233736</v>
      </c>
      <c r="U23" s="9">
        <v>17.186952179757618</v>
      </c>
      <c r="V23" s="9">
        <v>6.5714817157896768</v>
      </c>
      <c r="W23" s="5" t="s">
        <v>69</v>
      </c>
      <c r="X23" s="9">
        <v>506.13262039243352</v>
      </c>
      <c r="Y23" s="9">
        <v>333.56811143031217</v>
      </c>
      <c r="Z23" s="9">
        <v>1.53</v>
      </c>
      <c r="AA23" s="9">
        <v>22.7759679176595</v>
      </c>
      <c r="AB23" s="9">
        <v>9.1103871670638021</v>
      </c>
      <c r="AC23" s="9">
        <v>17.714641713735169</v>
      </c>
      <c r="AD23" s="9">
        <v>6.0735914447092014</v>
      </c>
      <c r="AE23" s="9">
        <v>121.4335121636628</v>
      </c>
      <c r="AF23" s="9">
        <v>174.39701476518761</v>
      </c>
      <c r="AG23" s="9">
        <v>122.79205400648161</v>
      </c>
      <c r="AH23" s="9">
        <v>172.56450896212129</v>
      </c>
      <c r="AI23" s="9">
        <v>121.4335121636628</v>
      </c>
    </row>
    <row r="24" spans="1:35" ht="15" x14ac:dyDescent="0.4">
      <c r="A24" s="56">
        <v>45870</v>
      </c>
      <c r="B24" s="53">
        <v>2025</v>
      </c>
      <c r="C24" s="53">
        <v>8</v>
      </c>
      <c r="D24" s="5" t="s">
        <v>70</v>
      </c>
      <c r="E24" s="9">
        <v>297.80621710415619</v>
      </c>
      <c r="F24" s="9">
        <v>175.385244118771</v>
      </c>
      <c r="G24" s="9">
        <v>122.42097298538521</v>
      </c>
      <c r="H24" s="9">
        <v>105</v>
      </c>
      <c r="I24" s="9">
        <v>0.89250000000000007</v>
      </c>
      <c r="J24" s="9">
        <v>8.3385740789163734</v>
      </c>
      <c r="K24" s="9">
        <v>7.4451554276039049</v>
      </c>
      <c r="L24" s="9">
        <v>10.42321759864547</v>
      </c>
      <c r="M24" s="9">
        <v>3.5736746052498738</v>
      </c>
      <c r="N24" s="9">
        <v>2.9780621710415618</v>
      </c>
      <c r="O24" s="9">
        <v>307.26701858928573</v>
      </c>
      <c r="P24" s="9">
        <v>0.41499999999999998</v>
      </c>
      <c r="Q24" s="9">
        <v>179.75120587473211</v>
      </c>
      <c r="R24" s="9">
        <v>0.9103500000000001</v>
      </c>
      <c r="S24" s="9">
        <v>9.2180105576785714</v>
      </c>
      <c r="T24" s="9">
        <v>7.3744084461428576</v>
      </c>
      <c r="U24" s="9">
        <v>10.447078632035719</v>
      </c>
      <c r="V24" s="9">
        <v>3.994471241660714</v>
      </c>
      <c r="W24" s="5" t="s">
        <v>69</v>
      </c>
      <c r="X24" s="9">
        <v>297.80621710415619</v>
      </c>
      <c r="Y24" s="9">
        <v>175.385244118771</v>
      </c>
      <c r="Z24" s="9">
        <v>0.89250000000000007</v>
      </c>
      <c r="AA24" s="9">
        <v>8.3385740789163734</v>
      </c>
      <c r="AB24" s="9">
        <v>7.4451554276039049</v>
      </c>
      <c r="AC24" s="9">
        <v>10.42321759864547</v>
      </c>
      <c r="AD24" s="9">
        <v>3.5736746052498738</v>
      </c>
      <c r="AE24" s="9">
        <v>95.321525880219468</v>
      </c>
      <c r="AF24" s="9">
        <v>127.5158127145536</v>
      </c>
      <c r="AG24" s="9">
        <v>99.565965078696465</v>
      </c>
      <c r="AH24" s="9">
        <v>122.42097298538521</v>
      </c>
      <c r="AI24" s="9">
        <v>95.321525880219468</v>
      </c>
    </row>
    <row r="25" spans="1:35" ht="15" x14ac:dyDescent="0.4">
      <c r="A25" s="56">
        <v>45870</v>
      </c>
      <c r="B25" s="53">
        <v>2025</v>
      </c>
      <c r="C25" s="53">
        <v>8</v>
      </c>
      <c r="D25" s="5" t="s">
        <v>71</v>
      </c>
      <c r="E25" s="9">
        <v>182.04543091985909</v>
      </c>
      <c r="F25" s="9">
        <v>76.175777332062808</v>
      </c>
      <c r="G25" s="9">
        <v>105.86965358779629</v>
      </c>
      <c r="H25" s="9">
        <v>75</v>
      </c>
      <c r="I25" s="9">
        <v>0.75</v>
      </c>
      <c r="J25" s="9">
        <v>10.92272585519154</v>
      </c>
      <c r="K25" s="9">
        <v>9.102271545992954</v>
      </c>
      <c r="L25" s="9">
        <v>6.371590082195068</v>
      </c>
      <c r="M25" s="9">
        <v>3.2768177565574632</v>
      </c>
      <c r="N25" s="9">
        <v>1.733766008760562</v>
      </c>
      <c r="O25" s="9">
        <v>186.03752654479661</v>
      </c>
      <c r="P25" s="9">
        <v>0.59</v>
      </c>
      <c r="Q25" s="9">
        <v>76.275385883366596</v>
      </c>
      <c r="R25" s="9">
        <v>0.76500000000000001</v>
      </c>
      <c r="S25" s="9">
        <v>10.7901765395982</v>
      </c>
      <c r="T25" s="9">
        <v>8.9298012741502362</v>
      </c>
      <c r="U25" s="9">
        <v>6.3252759025230842</v>
      </c>
      <c r="V25" s="9">
        <v>3.720750530895931</v>
      </c>
      <c r="W25" s="5" t="s">
        <v>69</v>
      </c>
      <c r="X25" s="9">
        <v>182.04543091985909</v>
      </c>
      <c r="Y25" s="9">
        <v>76.175777332062808</v>
      </c>
      <c r="Z25" s="9">
        <v>0.75</v>
      </c>
      <c r="AA25" s="9">
        <v>10.92272585519154</v>
      </c>
      <c r="AB25" s="9">
        <v>9.102271545992954</v>
      </c>
      <c r="AC25" s="9">
        <v>6.371590082195068</v>
      </c>
      <c r="AD25" s="9">
        <v>3.2768177565574632</v>
      </c>
      <c r="AE25" s="9">
        <v>78.723066104416688</v>
      </c>
      <c r="AF25" s="9">
        <v>109.76214066143</v>
      </c>
      <c r="AG25" s="9">
        <v>82.951886945158449</v>
      </c>
      <c r="AH25" s="9">
        <v>105.86965358779629</v>
      </c>
      <c r="AI25" s="9">
        <v>78.723066104416688</v>
      </c>
    </row>
    <row r="26" spans="1:35" ht="15" x14ac:dyDescent="0.4">
      <c r="A26" s="56">
        <v>45901</v>
      </c>
      <c r="B26" s="53">
        <v>2025</v>
      </c>
      <c r="C26" s="53">
        <v>9</v>
      </c>
      <c r="D26" s="5" t="s">
        <v>68</v>
      </c>
      <c r="E26" s="9">
        <v>538.97933314527745</v>
      </c>
      <c r="F26" s="9">
        <v>355.57775109090773</v>
      </c>
      <c r="G26" s="9">
        <v>183.40158205436981</v>
      </c>
      <c r="H26" s="9">
        <v>180</v>
      </c>
      <c r="I26" s="9">
        <v>1.53</v>
      </c>
      <c r="J26" s="9">
        <v>24.254069991537481</v>
      </c>
      <c r="K26" s="9">
        <v>9.7016279966149934</v>
      </c>
      <c r="L26" s="9">
        <v>18.864276660084709</v>
      </c>
      <c r="M26" s="9">
        <v>6.4677519977433304</v>
      </c>
      <c r="N26" s="9">
        <v>5.3897933314527746</v>
      </c>
      <c r="O26" s="9">
        <v>545.54438052920591</v>
      </c>
      <c r="P26" s="9">
        <v>0.34499999999999997</v>
      </c>
      <c r="Q26" s="9">
        <v>357.3315692466299</v>
      </c>
      <c r="R26" s="9">
        <v>1.5606</v>
      </c>
      <c r="S26" s="9">
        <v>25.09504150434347</v>
      </c>
      <c r="T26" s="9">
        <v>10.36534323005491</v>
      </c>
      <c r="U26" s="9">
        <v>18.548508937992999</v>
      </c>
      <c r="V26" s="9">
        <v>7.0920769468796756</v>
      </c>
      <c r="W26" s="5" t="s">
        <v>69</v>
      </c>
      <c r="X26" s="9">
        <v>538.97933314527745</v>
      </c>
      <c r="Y26" s="9">
        <v>355.57775109090773</v>
      </c>
      <c r="Z26" s="9">
        <v>1.53</v>
      </c>
      <c r="AA26" s="9">
        <v>24.254069991537481</v>
      </c>
      <c r="AB26" s="9">
        <v>9.7016279966149934</v>
      </c>
      <c r="AC26" s="9">
        <v>18.864276660084709</v>
      </c>
      <c r="AD26" s="9">
        <v>6.4677519977433304</v>
      </c>
      <c r="AE26" s="9">
        <v>129.0516074061326</v>
      </c>
      <c r="AF26" s="9">
        <v>188.21281128257601</v>
      </c>
      <c r="AG26" s="9">
        <v>132.6433176101846</v>
      </c>
      <c r="AH26" s="9">
        <v>183.40158205436981</v>
      </c>
      <c r="AI26" s="9">
        <v>129.0516074061326</v>
      </c>
    </row>
    <row r="27" spans="1:35" ht="15" x14ac:dyDescent="0.4">
      <c r="A27" s="56">
        <v>45901</v>
      </c>
      <c r="B27" s="53">
        <v>2025</v>
      </c>
      <c r="C27" s="53">
        <v>9</v>
      </c>
      <c r="D27" s="5" t="s">
        <v>70</v>
      </c>
      <c r="E27" s="9">
        <v>307.97002868358618</v>
      </c>
      <c r="F27" s="9">
        <v>180.7457810864619</v>
      </c>
      <c r="G27" s="9">
        <v>127.2242475971243</v>
      </c>
      <c r="H27" s="9">
        <v>105</v>
      </c>
      <c r="I27" s="9">
        <v>0.89250000000000007</v>
      </c>
      <c r="J27" s="9">
        <v>8.623160803140415</v>
      </c>
      <c r="K27" s="9">
        <v>7.6992507170896562</v>
      </c>
      <c r="L27" s="9">
        <v>10.778951003925521</v>
      </c>
      <c r="M27" s="9">
        <v>3.695640344203035</v>
      </c>
      <c r="N27" s="9">
        <v>3.0797002868358621</v>
      </c>
      <c r="O27" s="9">
        <v>312.36361365966337</v>
      </c>
      <c r="P27" s="9">
        <v>0.41499999999999998</v>
      </c>
      <c r="Q27" s="9">
        <v>182.73271399090311</v>
      </c>
      <c r="R27" s="9">
        <v>0.9103500000000001</v>
      </c>
      <c r="S27" s="9">
        <v>9.3709084097899016</v>
      </c>
      <c r="T27" s="9">
        <v>7.4967267278319207</v>
      </c>
      <c r="U27" s="9">
        <v>10.620362864428561</v>
      </c>
      <c r="V27" s="9">
        <v>4.0607269775756238</v>
      </c>
      <c r="W27" s="5" t="s">
        <v>69</v>
      </c>
      <c r="X27" s="9">
        <v>307.97002868358618</v>
      </c>
      <c r="Y27" s="9">
        <v>180.7457810864619</v>
      </c>
      <c r="Z27" s="9">
        <v>0.89250000000000007</v>
      </c>
      <c r="AA27" s="9">
        <v>8.623160803140415</v>
      </c>
      <c r="AB27" s="9">
        <v>7.6992507170896562</v>
      </c>
      <c r="AC27" s="9">
        <v>10.778951003925521</v>
      </c>
      <c r="AD27" s="9">
        <v>3.695640344203035</v>
      </c>
      <c r="AE27" s="9">
        <v>99.230385072968758</v>
      </c>
      <c r="AF27" s="9">
        <v>129.63089966876029</v>
      </c>
      <c r="AG27" s="9">
        <v>101.2325516667099</v>
      </c>
      <c r="AH27" s="9">
        <v>127.2242475971244</v>
      </c>
      <c r="AI27" s="9">
        <v>99.230385072968787</v>
      </c>
    </row>
    <row r="28" spans="1:35" ht="15" x14ac:dyDescent="0.4">
      <c r="A28" s="56">
        <v>45901</v>
      </c>
      <c r="B28" s="53">
        <v>2025</v>
      </c>
      <c r="C28" s="53">
        <v>9</v>
      </c>
      <c r="D28" s="5" t="s">
        <v>71</v>
      </c>
      <c r="E28" s="9">
        <v>176.772900547814</v>
      </c>
      <c r="F28" s="9">
        <v>74.637922318716292</v>
      </c>
      <c r="G28" s="9">
        <v>102.1349782290977</v>
      </c>
      <c r="H28" s="9">
        <v>75</v>
      </c>
      <c r="I28" s="9">
        <v>0.75</v>
      </c>
      <c r="J28" s="9">
        <v>10.606374032868841</v>
      </c>
      <c r="K28" s="9">
        <v>8.8386450273907009</v>
      </c>
      <c r="L28" s="9">
        <v>6.1870515191734912</v>
      </c>
      <c r="M28" s="9">
        <v>3.181912209860652</v>
      </c>
      <c r="N28" s="9">
        <v>1.683551433788705</v>
      </c>
      <c r="O28" s="9">
        <v>177.34101709307791</v>
      </c>
      <c r="P28" s="9">
        <v>0.59</v>
      </c>
      <c r="Q28" s="9">
        <v>72.709817008161963</v>
      </c>
      <c r="R28" s="9">
        <v>0.76500000000000001</v>
      </c>
      <c r="S28" s="9">
        <v>10.285778991398519</v>
      </c>
      <c r="T28" s="9">
        <v>8.5123688204677403</v>
      </c>
      <c r="U28" s="9">
        <v>6.0295945811646501</v>
      </c>
      <c r="V28" s="9">
        <v>3.5468203418615589</v>
      </c>
      <c r="W28" s="5" t="s">
        <v>69</v>
      </c>
      <c r="X28" s="9">
        <v>176.772900547814</v>
      </c>
      <c r="Y28" s="9">
        <v>74.637922318716292</v>
      </c>
      <c r="Z28" s="9">
        <v>0.75</v>
      </c>
      <c r="AA28" s="9">
        <v>10.606374032868841</v>
      </c>
      <c r="AB28" s="9">
        <v>8.8386450273907009</v>
      </c>
      <c r="AC28" s="9">
        <v>6.1870515191734912</v>
      </c>
      <c r="AD28" s="9">
        <v>3.181912209860652</v>
      </c>
      <c r="AE28" s="9">
        <v>75.752907649664678</v>
      </c>
      <c r="AF28" s="9">
        <v>104.631200084916</v>
      </c>
      <c r="AG28" s="9">
        <v>79.038457691885071</v>
      </c>
      <c r="AH28" s="9">
        <v>102.1349782290977</v>
      </c>
      <c r="AI28" s="9">
        <v>75.752907649664678</v>
      </c>
    </row>
    <row r="29" spans="1:35" ht="15" x14ac:dyDescent="0.4">
      <c r="A29" s="56">
        <v>45931</v>
      </c>
      <c r="B29" s="53">
        <v>2025</v>
      </c>
      <c r="C29" s="53">
        <v>10</v>
      </c>
      <c r="D29" s="5" t="s">
        <v>68</v>
      </c>
      <c r="E29" s="9">
        <v>543.89604857505458</v>
      </c>
      <c r="F29" s="9">
        <v>360.38912325923729</v>
      </c>
      <c r="G29" s="9">
        <v>183.50692531581731</v>
      </c>
      <c r="H29" s="9">
        <v>180</v>
      </c>
      <c r="I29" s="9">
        <v>1.53</v>
      </c>
      <c r="J29" s="9">
        <v>24.475322185877459</v>
      </c>
      <c r="K29" s="9">
        <v>9.790128874350982</v>
      </c>
      <c r="L29" s="9">
        <v>19.036361700126911</v>
      </c>
      <c r="M29" s="9">
        <v>6.526752582900655</v>
      </c>
      <c r="N29" s="9">
        <v>5.4389604857505454</v>
      </c>
      <c r="O29" s="9">
        <v>556.42159364345537</v>
      </c>
      <c r="P29" s="9">
        <v>0.34499999999999997</v>
      </c>
      <c r="Q29" s="9">
        <v>364.4561438364633</v>
      </c>
      <c r="R29" s="9">
        <v>1.5606</v>
      </c>
      <c r="S29" s="9">
        <v>25.59539330759895</v>
      </c>
      <c r="T29" s="9">
        <v>10.572010279225649</v>
      </c>
      <c r="U29" s="9">
        <v>18.91833418387748</v>
      </c>
      <c r="V29" s="9">
        <v>7.2334807173649196</v>
      </c>
      <c r="W29" s="5" t="s">
        <v>69</v>
      </c>
      <c r="X29" s="9">
        <v>543.89604857505458</v>
      </c>
      <c r="Y29" s="9">
        <v>360.38912325923729</v>
      </c>
      <c r="Z29" s="9">
        <v>1.53</v>
      </c>
      <c r="AA29" s="9">
        <v>24.475322185877459</v>
      </c>
      <c r="AB29" s="9">
        <v>9.790128874350982</v>
      </c>
      <c r="AC29" s="9">
        <v>19.036361700126911</v>
      </c>
      <c r="AD29" s="9">
        <v>6.526752582900655</v>
      </c>
      <c r="AE29" s="9">
        <v>128.67511255546191</v>
      </c>
      <c r="AF29" s="9">
        <v>191.9654498069921</v>
      </c>
      <c r="AG29" s="9">
        <v>135.31911203628999</v>
      </c>
      <c r="AH29" s="9">
        <v>183.50692531581731</v>
      </c>
      <c r="AI29" s="9">
        <v>128.67511255546191</v>
      </c>
    </row>
    <row r="30" spans="1:35" ht="15" x14ac:dyDescent="0.4">
      <c r="A30" s="56">
        <v>45931</v>
      </c>
      <c r="B30" s="53">
        <v>2025</v>
      </c>
      <c r="C30" s="53">
        <v>10</v>
      </c>
      <c r="D30" s="5" t="s">
        <v>70</v>
      </c>
      <c r="E30" s="9">
        <v>315.33592080976263</v>
      </c>
      <c r="F30" s="9">
        <v>183.72886249868151</v>
      </c>
      <c r="G30" s="9">
        <v>131.60705831108109</v>
      </c>
      <c r="H30" s="9">
        <v>105</v>
      </c>
      <c r="I30" s="9">
        <v>0.89250000000000007</v>
      </c>
      <c r="J30" s="9">
        <v>8.8294057826733532</v>
      </c>
      <c r="K30" s="9">
        <v>7.8833980202440657</v>
      </c>
      <c r="L30" s="9">
        <v>11.03675722834169</v>
      </c>
      <c r="M30" s="9">
        <v>3.784031049717151</v>
      </c>
      <c r="N30" s="9">
        <v>3.1533592080976258</v>
      </c>
      <c r="O30" s="9">
        <v>317.48345219683222</v>
      </c>
      <c r="P30" s="9">
        <v>0.41499999999999998</v>
      </c>
      <c r="Q30" s="9">
        <v>185.72781953514681</v>
      </c>
      <c r="R30" s="9">
        <v>0.9103500000000001</v>
      </c>
      <c r="S30" s="9">
        <v>9.5245035659049666</v>
      </c>
      <c r="T30" s="9">
        <v>7.6196028527239736</v>
      </c>
      <c r="U30" s="9">
        <v>10.794437374692301</v>
      </c>
      <c r="V30" s="9">
        <v>4.127284878558819</v>
      </c>
      <c r="W30" s="5" t="s">
        <v>69</v>
      </c>
      <c r="X30" s="9">
        <v>315.33592080976263</v>
      </c>
      <c r="Y30" s="9">
        <v>183.72886249868151</v>
      </c>
      <c r="Z30" s="9">
        <v>0.89250000000000007</v>
      </c>
      <c r="AA30" s="9">
        <v>8.8294057826733532</v>
      </c>
      <c r="AB30" s="9">
        <v>7.8833980202440657</v>
      </c>
      <c r="AC30" s="9">
        <v>11.03675722834169</v>
      </c>
      <c r="AD30" s="9">
        <v>3.784031049717151</v>
      </c>
      <c r="AE30" s="9">
        <v>102.964997279822</v>
      </c>
      <c r="AF30" s="9">
        <v>131.75563266168541</v>
      </c>
      <c r="AG30" s="9">
        <v>102.9067388683642</v>
      </c>
      <c r="AH30" s="9">
        <v>131.60705831108109</v>
      </c>
      <c r="AI30" s="9">
        <v>102.964997279822</v>
      </c>
    </row>
    <row r="31" spans="1:35" ht="15" x14ac:dyDescent="0.4">
      <c r="A31" s="56">
        <v>45931</v>
      </c>
      <c r="B31" s="53">
        <v>2025</v>
      </c>
      <c r="C31" s="53">
        <v>10</v>
      </c>
      <c r="D31" s="5" t="s">
        <v>71</v>
      </c>
      <c r="E31" s="9">
        <v>186.3882195621762</v>
      </c>
      <c r="F31" s="9">
        <v>77.026941493385863</v>
      </c>
      <c r="G31" s="9">
        <v>109.3612780687904</v>
      </c>
      <c r="H31" s="9">
        <v>75</v>
      </c>
      <c r="I31" s="9">
        <v>0.75</v>
      </c>
      <c r="J31" s="9">
        <v>11.18329317373057</v>
      </c>
      <c r="K31" s="9">
        <v>9.3194109781088112</v>
      </c>
      <c r="L31" s="9">
        <v>6.5235876846761691</v>
      </c>
      <c r="M31" s="9">
        <v>3.3549879521191719</v>
      </c>
      <c r="N31" s="9">
        <v>1.7751259005921549</v>
      </c>
      <c r="O31" s="9">
        <v>185.07215028412199</v>
      </c>
      <c r="P31" s="9">
        <v>0.59</v>
      </c>
      <c r="Q31" s="9">
        <v>75.879581616490015</v>
      </c>
      <c r="R31" s="9">
        <v>0.76500000000000001</v>
      </c>
      <c r="S31" s="9">
        <v>10.734184716479071</v>
      </c>
      <c r="T31" s="9">
        <v>8.8834632136378548</v>
      </c>
      <c r="U31" s="9">
        <v>6.2924531096601468</v>
      </c>
      <c r="V31" s="9">
        <v>3.7014430056824388</v>
      </c>
      <c r="W31" s="5" t="s">
        <v>69</v>
      </c>
      <c r="X31" s="9">
        <v>186.3882195621762</v>
      </c>
      <c r="Y31" s="9">
        <v>77.026941493385863</v>
      </c>
      <c r="Z31" s="9">
        <v>0.75</v>
      </c>
      <c r="AA31" s="9">
        <v>11.18329317373057</v>
      </c>
      <c r="AB31" s="9">
        <v>9.3194109781088112</v>
      </c>
      <c r="AC31" s="9">
        <v>6.5235876846761691</v>
      </c>
      <c r="AD31" s="9">
        <v>3.3549879521191719</v>
      </c>
      <c r="AE31" s="9">
        <v>81.584986232274815</v>
      </c>
      <c r="AF31" s="9">
        <v>109.1925686676319</v>
      </c>
      <c r="AG31" s="9">
        <v>82.51746762785487</v>
      </c>
      <c r="AH31" s="9">
        <v>109.3612780687904</v>
      </c>
      <c r="AI31" s="9">
        <v>81.584986232274815</v>
      </c>
    </row>
    <row r="32" spans="1:35" ht="15" x14ac:dyDescent="0.4">
      <c r="A32" s="56">
        <v>45962</v>
      </c>
      <c r="B32" s="53">
        <v>2025</v>
      </c>
      <c r="C32" s="53">
        <v>11</v>
      </c>
      <c r="D32" s="5" t="s">
        <v>68</v>
      </c>
      <c r="E32" s="9">
        <v>546.73946780276844</v>
      </c>
      <c r="F32" s="9">
        <v>361.59507579115092</v>
      </c>
      <c r="G32" s="9">
        <v>185.14439201161761</v>
      </c>
      <c r="H32" s="9">
        <v>180</v>
      </c>
      <c r="I32" s="9">
        <v>1.53</v>
      </c>
      <c r="J32" s="9">
        <v>24.603276051124581</v>
      </c>
      <c r="K32" s="9">
        <v>9.8413104204498314</v>
      </c>
      <c r="L32" s="9">
        <v>19.1358813730969</v>
      </c>
      <c r="M32" s="9">
        <v>6.5608736136332224</v>
      </c>
      <c r="N32" s="9">
        <v>5.4673946780276843</v>
      </c>
      <c r="O32" s="9">
        <v>542.36397945297392</v>
      </c>
      <c r="P32" s="9">
        <v>0.34499999999999997</v>
      </c>
      <c r="Q32" s="9">
        <v>355.24840654169788</v>
      </c>
      <c r="R32" s="9">
        <v>1.5606</v>
      </c>
      <c r="S32" s="9">
        <v>24.9487430548368</v>
      </c>
      <c r="T32" s="9">
        <v>10.30491560960651</v>
      </c>
      <c r="U32" s="9">
        <v>18.440375301401119</v>
      </c>
      <c r="V32" s="9">
        <v>7.0507317328886607</v>
      </c>
      <c r="W32" s="5" t="s">
        <v>69</v>
      </c>
      <c r="X32" s="9">
        <v>546.73946780276844</v>
      </c>
      <c r="Y32" s="9">
        <v>361.59507579115092</v>
      </c>
      <c r="Z32" s="9">
        <v>1.53</v>
      </c>
      <c r="AA32" s="9">
        <v>24.603276051124581</v>
      </c>
      <c r="AB32" s="9">
        <v>9.8413104204498314</v>
      </c>
      <c r="AC32" s="9">
        <v>19.1358813730969</v>
      </c>
      <c r="AD32" s="9">
        <v>6.5608736136332224</v>
      </c>
      <c r="AE32" s="9">
        <v>130.03392416694629</v>
      </c>
      <c r="AF32" s="9">
        <v>187.11557291127599</v>
      </c>
      <c r="AG32" s="9">
        <v>131.8609389454316</v>
      </c>
      <c r="AH32" s="9">
        <v>185.14439201161761</v>
      </c>
      <c r="AI32" s="9">
        <v>130.03392416694629</v>
      </c>
    </row>
    <row r="33" spans="1:35" ht="15" x14ac:dyDescent="0.4">
      <c r="A33" s="56">
        <v>45962</v>
      </c>
      <c r="B33" s="53">
        <v>2025</v>
      </c>
      <c r="C33" s="53">
        <v>11</v>
      </c>
      <c r="D33" s="5" t="s">
        <v>70</v>
      </c>
      <c r="E33" s="9">
        <v>330.61978323194438</v>
      </c>
      <c r="F33" s="9">
        <v>194.11209394225821</v>
      </c>
      <c r="G33" s="9">
        <v>136.50768928968631</v>
      </c>
      <c r="H33" s="9">
        <v>105</v>
      </c>
      <c r="I33" s="9">
        <v>0.89250000000000007</v>
      </c>
      <c r="J33" s="9">
        <v>9.2573539304944443</v>
      </c>
      <c r="K33" s="9">
        <v>8.2654945807986113</v>
      </c>
      <c r="L33" s="9">
        <v>11.571692413118059</v>
      </c>
      <c r="M33" s="9">
        <v>3.9674373987833329</v>
      </c>
      <c r="N33" s="9">
        <v>3.306197832319445</v>
      </c>
      <c r="O33" s="9">
        <v>336.6061776194469</v>
      </c>
      <c r="P33" s="9">
        <v>0.41499999999999998</v>
      </c>
      <c r="Q33" s="9">
        <v>196.91461390737641</v>
      </c>
      <c r="R33" s="9">
        <v>0.9103500000000001</v>
      </c>
      <c r="S33" s="9">
        <v>10.09818532858341</v>
      </c>
      <c r="T33" s="9">
        <v>8.0785482628667253</v>
      </c>
      <c r="U33" s="9">
        <v>11.4446100390612</v>
      </c>
      <c r="V33" s="9">
        <v>4.3758803090528096</v>
      </c>
      <c r="W33" s="5" t="s">
        <v>69</v>
      </c>
      <c r="X33" s="9">
        <v>330.61978323194438</v>
      </c>
      <c r="Y33" s="9">
        <v>194.11209394225821</v>
      </c>
      <c r="Z33" s="9">
        <v>0.89250000000000007</v>
      </c>
      <c r="AA33" s="9">
        <v>9.2573539304944443</v>
      </c>
      <c r="AB33" s="9">
        <v>8.2654945807986113</v>
      </c>
      <c r="AC33" s="9">
        <v>11.571692413118059</v>
      </c>
      <c r="AD33" s="9">
        <v>3.9674373987833329</v>
      </c>
      <c r="AE33" s="9">
        <v>106.52064836527521</v>
      </c>
      <c r="AF33" s="9">
        <v>139.69156371207049</v>
      </c>
      <c r="AG33" s="9">
        <v>109.15987008155911</v>
      </c>
      <c r="AH33" s="9">
        <v>136.50768928968631</v>
      </c>
      <c r="AI33" s="9">
        <v>106.52064836527521</v>
      </c>
    </row>
    <row r="34" spans="1:35" ht="15" x14ac:dyDescent="0.4">
      <c r="A34" s="56">
        <v>45962</v>
      </c>
      <c r="B34" s="53">
        <v>2025</v>
      </c>
      <c r="C34" s="53">
        <v>11</v>
      </c>
      <c r="D34" s="5" t="s">
        <v>71</v>
      </c>
      <c r="E34" s="9">
        <v>201.08089032291289</v>
      </c>
      <c r="F34" s="9">
        <v>83.343666235634416</v>
      </c>
      <c r="G34" s="9">
        <v>117.73722408727841</v>
      </c>
      <c r="H34" s="9">
        <v>75</v>
      </c>
      <c r="I34" s="9">
        <v>0.75</v>
      </c>
      <c r="J34" s="9">
        <v>12.064853419374771</v>
      </c>
      <c r="K34" s="9">
        <v>10.054044516145639</v>
      </c>
      <c r="L34" s="9">
        <v>7.0378311613019511</v>
      </c>
      <c r="M34" s="9">
        <v>3.6194560258124309</v>
      </c>
      <c r="N34" s="9">
        <v>1.9150560983134559</v>
      </c>
      <c r="O34" s="9">
        <v>209.81255504107901</v>
      </c>
      <c r="P34" s="9">
        <v>0.59</v>
      </c>
      <c r="Q34" s="9">
        <v>86.023147566842397</v>
      </c>
      <c r="R34" s="9">
        <v>0.76500000000000001</v>
      </c>
      <c r="S34" s="9">
        <v>12.16912819238258</v>
      </c>
      <c r="T34" s="9">
        <v>10.07100264197179</v>
      </c>
      <c r="U34" s="9">
        <v>7.1336268713966868</v>
      </c>
      <c r="V34" s="9">
        <v>4.1962511008215806</v>
      </c>
      <c r="W34" s="5" t="s">
        <v>69</v>
      </c>
      <c r="X34" s="9">
        <v>201.08089032291289</v>
      </c>
      <c r="Y34" s="9">
        <v>83.343666235634416</v>
      </c>
      <c r="Z34" s="9">
        <v>0.75</v>
      </c>
      <c r="AA34" s="9">
        <v>12.064853419374771</v>
      </c>
      <c r="AB34" s="9">
        <v>10.054044516145639</v>
      </c>
      <c r="AC34" s="9">
        <v>7.0378311613019511</v>
      </c>
      <c r="AD34" s="9">
        <v>3.6194560258124309</v>
      </c>
      <c r="AE34" s="9">
        <v>87.830494990456074</v>
      </c>
      <c r="AF34" s="9">
        <v>123.7894074742366</v>
      </c>
      <c r="AG34" s="9">
        <v>93.65064976848555</v>
      </c>
      <c r="AH34" s="9">
        <v>117.73722408727841</v>
      </c>
      <c r="AI34" s="9">
        <v>87.830494990456074</v>
      </c>
    </row>
    <row r="35" spans="1:35" ht="15" x14ac:dyDescent="0.4">
      <c r="A35" s="56">
        <v>45992</v>
      </c>
      <c r="B35" s="53">
        <v>2025</v>
      </c>
      <c r="C35" s="53">
        <v>12</v>
      </c>
      <c r="D35" s="5" t="s">
        <v>68</v>
      </c>
      <c r="E35" s="9">
        <v>606.18869109546586</v>
      </c>
      <c r="F35" s="9">
        <v>401.22804762933299</v>
      </c>
      <c r="G35" s="9">
        <v>204.96064346613281</v>
      </c>
      <c r="H35" s="9">
        <v>180</v>
      </c>
      <c r="I35" s="9">
        <v>1.53</v>
      </c>
      <c r="J35" s="9">
        <v>27.278491099295959</v>
      </c>
      <c r="K35" s="9">
        <v>10.911396439718381</v>
      </c>
      <c r="L35" s="9">
        <v>21.216604188341311</v>
      </c>
      <c r="M35" s="9">
        <v>7.2742642931455901</v>
      </c>
      <c r="N35" s="9">
        <v>6.0618869109546587</v>
      </c>
      <c r="O35" s="9">
        <v>617.0272533846279</v>
      </c>
      <c r="P35" s="9">
        <v>0.34499999999999997</v>
      </c>
      <c r="Q35" s="9">
        <v>404.15285096693128</v>
      </c>
      <c r="R35" s="9">
        <v>1.5606</v>
      </c>
      <c r="S35" s="9">
        <v>28.383253655692879</v>
      </c>
      <c r="T35" s="9">
        <v>11.723517814307931</v>
      </c>
      <c r="U35" s="9">
        <v>20.978926615077349</v>
      </c>
      <c r="V35" s="9">
        <v>8.0213542940001616</v>
      </c>
      <c r="W35" s="5" t="s">
        <v>69</v>
      </c>
      <c r="X35" s="9">
        <v>606.18869109546586</v>
      </c>
      <c r="Y35" s="9">
        <v>401.22804762933299</v>
      </c>
      <c r="Z35" s="9">
        <v>1.53</v>
      </c>
      <c r="AA35" s="9">
        <v>27.278491099295959</v>
      </c>
      <c r="AB35" s="9">
        <v>10.911396439718381</v>
      </c>
      <c r="AC35" s="9">
        <v>21.216604188341311</v>
      </c>
      <c r="AD35" s="9">
        <v>7.2742642931455901</v>
      </c>
      <c r="AE35" s="9">
        <v>144.02415173877719</v>
      </c>
      <c r="AF35" s="9">
        <v>212.87440241769659</v>
      </c>
      <c r="AG35" s="9">
        <v>150.2281043326185</v>
      </c>
      <c r="AH35" s="9">
        <v>204.96064346613289</v>
      </c>
      <c r="AI35" s="9">
        <v>144.02415173877719</v>
      </c>
    </row>
    <row r="36" spans="1:35" ht="15" x14ac:dyDescent="0.4">
      <c r="A36" s="56">
        <v>45992</v>
      </c>
      <c r="B36" s="53">
        <v>2025</v>
      </c>
      <c r="C36" s="53">
        <v>12</v>
      </c>
      <c r="D36" s="5" t="s">
        <v>70</v>
      </c>
      <c r="E36" s="9">
        <v>360.36734727268811</v>
      </c>
      <c r="F36" s="9">
        <v>212.95591886471661</v>
      </c>
      <c r="G36" s="9">
        <v>147.41142840797161</v>
      </c>
      <c r="H36" s="9">
        <v>105</v>
      </c>
      <c r="I36" s="9">
        <v>0.89250000000000007</v>
      </c>
      <c r="J36" s="9">
        <v>10.090285723635271</v>
      </c>
      <c r="K36" s="9">
        <v>9.0091836818172037</v>
      </c>
      <c r="L36" s="9">
        <v>12.612857154544081</v>
      </c>
      <c r="M36" s="9">
        <v>4.3244081672722574</v>
      </c>
      <c r="N36" s="9">
        <v>3.6036734727268809</v>
      </c>
      <c r="O36" s="9">
        <v>365.00329666220682</v>
      </c>
      <c r="P36" s="9">
        <v>0.41499999999999998</v>
      </c>
      <c r="Q36" s="9">
        <v>213.52692854739101</v>
      </c>
      <c r="R36" s="9">
        <v>0.9103500000000001</v>
      </c>
      <c r="S36" s="9">
        <v>10.9500988998662</v>
      </c>
      <c r="T36" s="9">
        <v>8.7600791198929642</v>
      </c>
      <c r="U36" s="9">
        <v>12.41011208651503</v>
      </c>
      <c r="V36" s="9">
        <v>4.7450428566086886</v>
      </c>
      <c r="W36" s="5" t="s">
        <v>69</v>
      </c>
      <c r="X36" s="9">
        <v>360.36734727268811</v>
      </c>
      <c r="Y36" s="9">
        <v>212.95591886471661</v>
      </c>
      <c r="Z36" s="9">
        <v>0.89250000000000007</v>
      </c>
      <c r="AA36" s="9">
        <v>10.090285723635271</v>
      </c>
      <c r="AB36" s="9">
        <v>9.0091836818172037</v>
      </c>
      <c r="AC36" s="9">
        <v>12.612857154544081</v>
      </c>
      <c r="AD36" s="9">
        <v>4.3244081672722574</v>
      </c>
      <c r="AE36" s="9">
        <v>114.806601847975</v>
      </c>
      <c r="AF36" s="9">
        <v>151.47636811481581</v>
      </c>
      <c r="AG36" s="9">
        <v>118.44572800854171</v>
      </c>
      <c r="AH36" s="9">
        <v>147.41142840797161</v>
      </c>
      <c r="AI36" s="9">
        <v>114.806601847975</v>
      </c>
    </row>
    <row r="37" spans="1:35" ht="15" x14ac:dyDescent="0.4">
      <c r="A37" s="56">
        <v>45992</v>
      </c>
      <c r="B37" s="53">
        <v>2025</v>
      </c>
      <c r="C37" s="53">
        <v>12</v>
      </c>
      <c r="D37" s="5" t="s">
        <v>71</v>
      </c>
      <c r="E37" s="9">
        <v>204.92906797689571</v>
      </c>
      <c r="F37" s="9">
        <v>87.686623258206652</v>
      </c>
      <c r="G37" s="9">
        <v>117.2424447186891</v>
      </c>
      <c r="H37" s="9">
        <v>75</v>
      </c>
      <c r="I37" s="9">
        <v>0.75</v>
      </c>
      <c r="J37" s="9">
        <v>12.29574407861374</v>
      </c>
      <c r="K37" s="9">
        <v>10.246453398844791</v>
      </c>
      <c r="L37" s="9">
        <v>7.1725173791913512</v>
      </c>
      <c r="M37" s="9">
        <v>3.6887232235841232</v>
      </c>
      <c r="N37" s="9">
        <v>1.9517054093037689</v>
      </c>
      <c r="O37" s="9">
        <v>209.05733751560851</v>
      </c>
      <c r="P37" s="9">
        <v>0.59</v>
      </c>
      <c r="Q37" s="9">
        <v>85.713508381399478</v>
      </c>
      <c r="R37" s="9">
        <v>0.76500000000000001</v>
      </c>
      <c r="S37" s="9">
        <v>12.12532557590529</v>
      </c>
      <c r="T37" s="9">
        <v>10.03475220074921</v>
      </c>
      <c r="U37" s="9">
        <v>7.1079494755306882</v>
      </c>
      <c r="V37" s="9">
        <v>4.1811467503121689</v>
      </c>
      <c r="W37" s="5" t="s">
        <v>69</v>
      </c>
      <c r="X37" s="9">
        <v>204.92906797689571</v>
      </c>
      <c r="Y37" s="9">
        <v>87.686623258206652</v>
      </c>
      <c r="Z37" s="9">
        <v>0.75</v>
      </c>
      <c r="AA37" s="9">
        <v>12.29574407861374</v>
      </c>
      <c r="AB37" s="9">
        <v>10.246453398844791</v>
      </c>
      <c r="AC37" s="9">
        <v>7.1725173791913512</v>
      </c>
      <c r="AD37" s="9">
        <v>3.6887232235841232</v>
      </c>
      <c r="AE37" s="9">
        <v>86.777729862039195</v>
      </c>
      <c r="AF37" s="9">
        <v>123.343829134209</v>
      </c>
      <c r="AG37" s="9">
        <v>93.310801882023782</v>
      </c>
      <c r="AH37" s="9">
        <v>117.2424447186891</v>
      </c>
      <c r="AI37" s="9">
        <v>86.777729862039195</v>
      </c>
    </row>
    <row r="38" spans="1:35" ht="15" x14ac:dyDescent="0.4">
      <c r="A38" s="56">
        <v>46023</v>
      </c>
      <c r="B38" s="53">
        <v>2026</v>
      </c>
      <c r="C38" s="53">
        <v>1</v>
      </c>
      <c r="D38" s="5" t="s">
        <v>68</v>
      </c>
      <c r="E38" s="9">
        <v>586.04247354389895</v>
      </c>
      <c r="F38" s="9">
        <v>385.59929470522098</v>
      </c>
      <c r="G38" s="9">
        <v>200.44317883867799</v>
      </c>
      <c r="H38" s="9">
        <v>188</v>
      </c>
      <c r="I38" s="9">
        <v>1.6619200000000001</v>
      </c>
      <c r="J38" s="9">
        <v>26.37191130947545</v>
      </c>
      <c r="K38" s="9">
        <v>10.548764523790179</v>
      </c>
      <c r="L38" s="9">
        <v>20.511486574036461</v>
      </c>
      <c r="M38" s="9">
        <v>7.0325096825267872</v>
      </c>
      <c r="N38" s="9">
        <v>5.8604247354389898</v>
      </c>
      <c r="O38" s="9">
        <v>615.10433511765359</v>
      </c>
      <c r="P38" s="9">
        <v>0.34499999999999997</v>
      </c>
      <c r="Q38" s="9">
        <v>402.8933395020631</v>
      </c>
      <c r="R38" s="9">
        <v>1.703468</v>
      </c>
      <c r="S38" s="9">
        <v>28.294799415412069</v>
      </c>
      <c r="T38" s="9">
        <v>11.686982367235419</v>
      </c>
      <c r="U38" s="9">
        <v>20.913547394000219</v>
      </c>
      <c r="V38" s="9">
        <v>7.9963563565294962</v>
      </c>
      <c r="W38" s="5" t="s">
        <v>69</v>
      </c>
      <c r="X38" s="9">
        <v>586.04247354389895</v>
      </c>
      <c r="Y38" s="9">
        <v>385.59929470522098</v>
      </c>
      <c r="Z38" s="9">
        <v>1.6619200000000001</v>
      </c>
      <c r="AA38" s="9">
        <v>26.37191130947545</v>
      </c>
      <c r="AB38" s="9">
        <v>10.548764523790179</v>
      </c>
      <c r="AC38" s="9">
        <v>20.511486574036461</v>
      </c>
      <c r="AD38" s="9">
        <v>7.0325096825267872</v>
      </c>
      <c r="AE38" s="9">
        <v>141.3490964313759</v>
      </c>
      <c r="AF38" s="9">
        <v>212.21099561559049</v>
      </c>
      <c r="AG38" s="9">
        <v>149.61219843894281</v>
      </c>
      <c r="AH38" s="9">
        <v>200.44317883867799</v>
      </c>
      <c r="AI38" s="9">
        <v>141.3490964313759</v>
      </c>
    </row>
    <row r="39" spans="1:35" ht="15" x14ac:dyDescent="0.4">
      <c r="A39" s="56">
        <v>46023</v>
      </c>
      <c r="B39" s="53">
        <v>2026</v>
      </c>
      <c r="C39" s="53">
        <v>1</v>
      </c>
      <c r="D39" s="5" t="s">
        <v>70</v>
      </c>
      <c r="E39" s="9">
        <v>360.27089280338299</v>
      </c>
      <c r="F39" s="9">
        <v>211.33591882110591</v>
      </c>
      <c r="G39" s="9">
        <v>148.93497398227711</v>
      </c>
      <c r="H39" s="9">
        <v>113</v>
      </c>
      <c r="I39" s="9">
        <v>0.99892000000000003</v>
      </c>
      <c r="J39" s="9">
        <v>10.087584998494719</v>
      </c>
      <c r="K39" s="9">
        <v>9.0067723200845755</v>
      </c>
      <c r="L39" s="9">
        <v>12.60948124811841</v>
      </c>
      <c r="M39" s="9">
        <v>4.3232507136405962</v>
      </c>
      <c r="N39" s="9">
        <v>3.60270892803383</v>
      </c>
      <c r="O39" s="9">
        <v>372.26457653196138</v>
      </c>
      <c r="P39" s="9">
        <v>0.41499999999999998</v>
      </c>
      <c r="Q39" s="9">
        <v>217.77477727119739</v>
      </c>
      <c r="R39" s="9">
        <v>1.0238929999999999</v>
      </c>
      <c r="S39" s="9">
        <v>11.16793729595884</v>
      </c>
      <c r="T39" s="9">
        <v>8.9343498367670744</v>
      </c>
      <c r="U39" s="9">
        <v>12.65699560208669</v>
      </c>
      <c r="V39" s="9">
        <v>4.8394394949154984</v>
      </c>
      <c r="W39" s="5" t="s">
        <v>69</v>
      </c>
      <c r="X39" s="9">
        <v>360.27089280338299</v>
      </c>
      <c r="Y39" s="9">
        <v>211.33591882110591</v>
      </c>
      <c r="Z39" s="9">
        <v>0.99892000000000003</v>
      </c>
      <c r="AA39" s="9">
        <v>10.087584998494719</v>
      </c>
      <c r="AB39" s="9">
        <v>9.0067723200845755</v>
      </c>
      <c r="AC39" s="9">
        <v>12.60948124811841</v>
      </c>
      <c r="AD39" s="9">
        <v>4.3232507136405962</v>
      </c>
      <c r="AE39" s="9">
        <v>116.2322154155794</v>
      </c>
      <c r="AF39" s="9">
        <v>154.48979926076399</v>
      </c>
      <c r="AG39" s="9">
        <v>120.7066235259514</v>
      </c>
      <c r="AH39" s="9">
        <v>148.93497398227711</v>
      </c>
      <c r="AI39" s="9">
        <v>116.2322154155794</v>
      </c>
    </row>
    <row r="40" spans="1:35" ht="15" x14ac:dyDescent="0.4">
      <c r="A40" s="56">
        <v>46023</v>
      </c>
      <c r="B40" s="53">
        <v>2026</v>
      </c>
      <c r="C40" s="53">
        <v>1</v>
      </c>
      <c r="D40" s="5" t="s">
        <v>71</v>
      </c>
      <c r="E40" s="9">
        <v>226.53329629904641</v>
      </c>
      <c r="F40" s="9">
        <v>94.894019394655146</v>
      </c>
      <c r="G40" s="9">
        <v>131.63927690439121</v>
      </c>
      <c r="H40" s="9">
        <v>83</v>
      </c>
      <c r="I40" s="9">
        <v>0.86320000000000008</v>
      </c>
      <c r="J40" s="9">
        <v>13.59199777794278</v>
      </c>
      <c r="K40" s="9">
        <v>11.32666481495232</v>
      </c>
      <c r="L40" s="9">
        <v>7.9286653704666232</v>
      </c>
      <c r="M40" s="9">
        <v>4.0775993333828344</v>
      </c>
      <c r="N40" s="9">
        <v>2.1574599647528219</v>
      </c>
      <c r="O40" s="9">
        <v>231.93296468592069</v>
      </c>
      <c r="P40" s="9">
        <v>0.59</v>
      </c>
      <c r="Q40" s="9">
        <v>95.092515521227483</v>
      </c>
      <c r="R40" s="9">
        <v>0.88478000000000001</v>
      </c>
      <c r="S40" s="9">
        <v>13.452111951783399</v>
      </c>
      <c r="T40" s="9">
        <v>11.13278230492419</v>
      </c>
      <c r="U40" s="9">
        <v>7.8857207993213034</v>
      </c>
      <c r="V40" s="9">
        <v>4.6386592937184137</v>
      </c>
      <c r="W40" s="5" t="s">
        <v>69</v>
      </c>
      <c r="X40" s="9">
        <v>226.53329629904641</v>
      </c>
      <c r="Y40" s="9">
        <v>94.894019394655146</v>
      </c>
      <c r="Z40" s="9">
        <v>0.86320000000000008</v>
      </c>
      <c r="AA40" s="9">
        <v>13.59199777794278</v>
      </c>
      <c r="AB40" s="9">
        <v>11.32666481495232</v>
      </c>
      <c r="AC40" s="9">
        <v>7.9286653704666232</v>
      </c>
      <c r="AD40" s="9">
        <v>4.0775993333828344</v>
      </c>
      <c r="AE40" s="9">
        <v>97.928748941029482</v>
      </c>
      <c r="AF40" s="9">
        <v>136.84044916469321</v>
      </c>
      <c r="AG40" s="9">
        <v>103.4850541086643</v>
      </c>
      <c r="AH40" s="9">
        <v>131.63927690439121</v>
      </c>
      <c r="AI40" s="9">
        <v>97.928748941029482</v>
      </c>
    </row>
    <row r="41" spans="1:35" ht="15" x14ac:dyDescent="0.4">
      <c r="A41" s="56">
        <v>46054</v>
      </c>
      <c r="B41" s="53">
        <v>2026</v>
      </c>
      <c r="C41" s="53">
        <v>2</v>
      </c>
      <c r="D41" s="5" t="s">
        <v>68</v>
      </c>
      <c r="E41" s="9">
        <v>596.51965363155</v>
      </c>
      <c r="F41" s="9">
        <v>394.45585906298521</v>
      </c>
      <c r="G41" s="9">
        <v>202.06379456856479</v>
      </c>
      <c r="H41" s="9">
        <v>188</v>
      </c>
      <c r="I41" s="9">
        <v>1.6619200000000001</v>
      </c>
      <c r="J41" s="9">
        <v>26.843384413419749</v>
      </c>
      <c r="K41" s="9">
        <v>10.737353765367899</v>
      </c>
      <c r="L41" s="9">
        <v>20.878187877104249</v>
      </c>
      <c r="M41" s="9">
        <v>7.1582358435786002</v>
      </c>
      <c r="N41" s="9">
        <v>5.9651965363155002</v>
      </c>
      <c r="O41" s="9">
        <v>624.31408761261775</v>
      </c>
      <c r="P41" s="9">
        <v>0.34499999999999997</v>
      </c>
      <c r="Q41" s="9">
        <v>408.92572738626473</v>
      </c>
      <c r="R41" s="9">
        <v>1.703468</v>
      </c>
      <c r="S41" s="9">
        <v>28.718448030180419</v>
      </c>
      <c r="T41" s="9">
        <v>11.861967664639741</v>
      </c>
      <c r="U41" s="9">
        <v>21.22667897882901</v>
      </c>
      <c r="V41" s="9">
        <v>8.1160831389640311</v>
      </c>
      <c r="W41" s="5" t="s">
        <v>69</v>
      </c>
      <c r="X41" s="9">
        <v>596.51965363155</v>
      </c>
      <c r="Y41" s="9">
        <v>394.45585906298521</v>
      </c>
      <c r="Z41" s="9">
        <v>1.6619200000000001</v>
      </c>
      <c r="AA41" s="9">
        <v>26.843384413419749</v>
      </c>
      <c r="AB41" s="9">
        <v>10.737353765367899</v>
      </c>
      <c r="AC41" s="9">
        <v>20.878187877104249</v>
      </c>
      <c r="AD41" s="9">
        <v>7.1582358435786002</v>
      </c>
      <c r="AE41" s="9">
        <v>141.94294851267281</v>
      </c>
      <c r="AF41" s="9">
        <v>215.38836022635309</v>
      </c>
      <c r="AG41" s="9">
        <v>151.87779755270401</v>
      </c>
      <c r="AH41" s="9">
        <v>202.06379456856479</v>
      </c>
      <c r="AI41" s="9">
        <v>141.94294851267281</v>
      </c>
    </row>
    <row r="42" spans="1:35" ht="15" x14ac:dyDescent="0.4">
      <c r="A42" s="56">
        <v>46054</v>
      </c>
      <c r="B42" s="53">
        <v>2026</v>
      </c>
      <c r="C42" s="53">
        <v>2</v>
      </c>
      <c r="D42" s="5" t="s">
        <v>70</v>
      </c>
      <c r="E42" s="9">
        <v>355.52770259758518</v>
      </c>
      <c r="F42" s="9">
        <v>210.91918293743171</v>
      </c>
      <c r="G42" s="9">
        <v>144.60851966015341</v>
      </c>
      <c r="H42" s="9">
        <v>113</v>
      </c>
      <c r="I42" s="9">
        <v>0.99892000000000003</v>
      </c>
      <c r="J42" s="9">
        <v>9.9547756727323851</v>
      </c>
      <c r="K42" s="9">
        <v>8.8881925649396294</v>
      </c>
      <c r="L42" s="9">
        <v>12.44346959091548</v>
      </c>
      <c r="M42" s="9">
        <v>4.2663324311710218</v>
      </c>
      <c r="N42" s="9">
        <v>3.5552770259758519</v>
      </c>
      <c r="O42" s="9">
        <v>368.48005554861538</v>
      </c>
      <c r="P42" s="9">
        <v>0.41499999999999998</v>
      </c>
      <c r="Q42" s="9">
        <v>215.56083249593999</v>
      </c>
      <c r="R42" s="9">
        <v>1.0238929999999999</v>
      </c>
      <c r="S42" s="9">
        <v>11.05440166645846</v>
      </c>
      <c r="T42" s="9">
        <v>8.8435213331667715</v>
      </c>
      <c r="U42" s="9">
        <v>12.528321888652931</v>
      </c>
      <c r="V42" s="9">
        <v>4.7902407221320003</v>
      </c>
      <c r="W42" s="5" t="s">
        <v>69</v>
      </c>
      <c r="X42" s="9">
        <v>355.52770259758518</v>
      </c>
      <c r="Y42" s="9">
        <v>210.91918293743171</v>
      </c>
      <c r="Z42" s="9">
        <v>0.99892000000000003</v>
      </c>
      <c r="AA42" s="9">
        <v>9.9547756727323851</v>
      </c>
      <c r="AB42" s="9">
        <v>8.8881925649396294</v>
      </c>
      <c r="AC42" s="9">
        <v>12.44346959091548</v>
      </c>
      <c r="AD42" s="9">
        <v>4.2663324311710218</v>
      </c>
      <c r="AE42" s="9">
        <v>112.3231618315659</v>
      </c>
      <c r="AF42" s="9">
        <v>152.91922305267539</v>
      </c>
      <c r="AG42" s="9">
        <v>119.4690851643973</v>
      </c>
      <c r="AH42" s="9">
        <v>144.60851966015341</v>
      </c>
      <c r="AI42" s="9">
        <v>112.3231618315659</v>
      </c>
    </row>
    <row r="43" spans="1:35" ht="15" x14ac:dyDescent="0.4">
      <c r="A43" s="56">
        <v>46054</v>
      </c>
      <c r="B43" s="53">
        <v>2026</v>
      </c>
      <c r="C43" s="53">
        <v>2</v>
      </c>
      <c r="D43" s="5" t="s">
        <v>71</v>
      </c>
      <c r="E43" s="9">
        <v>222.17370085665061</v>
      </c>
      <c r="F43" s="9">
        <v>93.903246719634438</v>
      </c>
      <c r="G43" s="9">
        <v>128.2704541370162</v>
      </c>
      <c r="H43" s="9">
        <v>83</v>
      </c>
      <c r="I43" s="9">
        <v>0.86320000000000008</v>
      </c>
      <c r="J43" s="9">
        <v>13.33042205139904</v>
      </c>
      <c r="K43" s="9">
        <v>11.10868504283253</v>
      </c>
      <c r="L43" s="9">
        <v>7.7760795299827734</v>
      </c>
      <c r="M43" s="9">
        <v>3.9991266154197112</v>
      </c>
      <c r="N43" s="9">
        <v>2.115940008158578</v>
      </c>
      <c r="O43" s="9">
        <v>233.95698076766811</v>
      </c>
      <c r="P43" s="9">
        <v>0.59</v>
      </c>
      <c r="Q43" s="9">
        <v>95.922362114743905</v>
      </c>
      <c r="R43" s="9">
        <v>0.88478000000000001</v>
      </c>
      <c r="S43" s="9">
        <v>13.569504884524751</v>
      </c>
      <c r="T43" s="9">
        <v>11.22993507684807</v>
      </c>
      <c r="U43" s="9">
        <v>7.9545373461007154</v>
      </c>
      <c r="V43" s="9">
        <v>4.6791396153533613</v>
      </c>
      <c r="W43" s="5" t="s">
        <v>69</v>
      </c>
      <c r="X43" s="9">
        <v>222.17370085665061</v>
      </c>
      <c r="Y43" s="9">
        <v>93.903246719634438</v>
      </c>
      <c r="Z43" s="9">
        <v>0.86320000000000008</v>
      </c>
      <c r="AA43" s="9">
        <v>13.33042205139904</v>
      </c>
      <c r="AB43" s="9">
        <v>11.10868504283253</v>
      </c>
      <c r="AC43" s="9">
        <v>7.7760795299827734</v>
      </c>
      <c r="AD43" s="9">
        <v>3.9991266154197112</v>
      </c>
      <c r="AE43" s="9">
        <v>95.192067512801856</v>
      </c>
      <c r="AF43" s="9">
        <v>138.03461865292419</v>
      </c>
      <c r="AG43" s="9">
        <v>104.3958613454506</v>
      </c>
      <c r="AH43" s="9">
        <v>128.2704541370162</v>
      </c>
      <c r="AI43" s="9">
        <v>95.192067512801856</v>
      </c>
    </row>
    <row r="44" spans="1:35" ht="15" x14ac:dyDescent="0.4">
      <c r="A44" s="56">
        <v>46082</v>
      </c>
      <c r="B44" s="53">
        <v>2026</v>
      </c>
      <c r="C44" s="53">
        <v>3</v>
      </c>
      <c r="D44" s="5" t="s">
        <v>68</v>
      </c>
      <c r="E44" s="9">
        <v>606.14357845826555</v>
      </c>
      <c r="F44" s="9">
        <v>398.85044679462982</v>
      </c>
      <c r="G44" s="9">
        <v>207.29313166363571</v>
      </c>
      <c r="H44" s="9">
        <v>188</v>
      </c>
      <c r="I44" s="9">
        <v>1.6619200000000001</v>
      </c>
      <c r="J44" s="9">
        <v>27.276461030621949</v>
      </c>
      <c r="K44" s="9">
        <v>10.910584412248779</v>
      </c>
      <c r="L44" s="9">
        <v>21.2150252460393</v>
      </c>
      <c r="M44" s="9">
        <v>7.2737229414991864</v>
      </c>
      <c r="N44" s="9">
        <v>6.0614357845826552</v>
      </c>
      <c r="O44" s="9">
        <v>625.9938814741306</v>
      </c>
      <c r="P44" s="9">
        <v>0.34499999999999997</v>
      </c>
      <c r="Q44" s="9">
        <v>410.02599236555562</v>
      </c>
      <c r="R44" s="9">
        <v>1.703468</v>
      </c>
      <c r="S44" s="9">
        <v>28.795718547810012</v>
      </c>
      <c r="T44" s="9">
        <v>11.893883748008481</v>
      </c>
      <c r="U44" s="9">
        <v>21.28379197012044</v>
      </c>
      <c r="V44" s="9">
        <v>8.1379204591636967</v>
      </c>
      <c r="W44" s="5" t="s">
        <v>69</v>
      </c>
      <c r="X44" s="9">
        <v>606.14357845826555</v>
      </c>
      <c r="Y44" s="9">
        <v>398.85044679462982</v>
      </c>
      <c r="Z44" s="9">
        <v>1.6619200000000001</v>
      </c>
      <c r="AA44" s="9">
        <v>27.276461030621949</v>
      </c>
      <c r="AB44" s="9">
        <v>10.910584412248779</v>
      </c>
      <c r="AC44" s="9">
        <v>21.2150252460393</v>
      </c>
      <c r="AD44" s="9">
        <v>7.2737229414991864</v>
      </c>
      <c r="AE44" s="9">
        <v>146.22914097472571</v>
      </c>
      <c r="AF44" s="9">
        <v>215.96788910857501</v>
      </c>
      <c r="AG44" s="9">
        <v>152.29102684263609</v>
      </c>
      <c r="AH44" s="9">
        <v>207.29313166363571</v>
      </c>
      <c r="AI44" s="9">
        <v>146.22914097472571</v>
      </c>
    </row>
    <row r="45" spans="1:35" ht="15" x14ac:dyDescent="0.4">
      <c r="A45" s="56">
        <v>46082</v>
      </c>
      <c r="B45" s="53">
        <v>2026</v>
      </c>
      <c r="C45" s="53">
        <v>3</v>
      </c>
      <c r="D45" s="5" t="s">
        <v>70</v>
      </c>
      <c r="E45" s="9">
        <v>369.56234195086529</v>
      </c>
      <c r="F45" s="9">
        <v>218.01906436058471</v>
      </c>
      <c r="G45" s="9">
        <v>151.54327759028061</v>
      </c>
      <c r="H45" s="9">
        <v>113</v>
      </c>
      <c r="I45" s="9">
        <v>0.99892000000000003</v>
      </c>
      <c r="J45" s="9">
        <v>10.347745574624231</v>
      </c>
      <c r="K45" s="9">
        <v>9.2390585487716326</v>
      </c>
      <c r="L45" s="9">
        <v>12.934681968280289</v>
      </c>
      <c r="M45" s="9">
        <v>4.4347481034103833</v>
      </c>
      <c r="N45" s="9">
        <v>3.695623419508653</v>
      </c>
      <c r="O45" s="9">
        <v>373.86144756425722</v>
      </c>
      <c r="P45" s="9">
        <v>0.41499999999999998</v>
      </c>
      <c r="Q45" s="9">
        <v>218.70894682509049</v>
      </c>
      <c r="R45" s="9">
        <v>1.0238929999999999</v>
      </c>
      <c r="S45" s="9">
        <v>11.215843426927719</v>
      </c>
      <c r="T45" s="9">
        <v>8.972674741542173</v>
      </c>
      <c r="U45" s="9">
        <v>12.711289217184749</v>
      </c>
      <c r="V45" s="9">
        <v>4.860198818335344</v>
      </c>
      <c r="W45" s="5" t="s">
        <v>69</v>
      </c>
      <c r="X45" s="9">
        <v>369.56234195086529</v>
      </c>
      <c r="Y45" s="9">
        <v>218.01906436058471</v>
      </c>
      <c r="Z45" s="9">
        <v>0.99892000000000003</v>
      </c>
      <c r="AA45" s="9">
        <v>10.347745574624231</v>
      </c>
      <c r="AB45" s="9">
        <v>9.2390585487716326</v>
      </c>
      <c r="AC45" s="9">
        <v>12.934681968280289</v>
      </c>
      <c r="AD45" s="9">
        <v>4.4347481034103833</v>
      </c>
      <c r="AE45" s="9">
        <v>118.0228714986045</v>
      </c>
      <c r="AF45" s="9">
        <v>155.15250073916681</v>
      </c>
      <c r="AG45" s="9">
        <v>121.2288003535122</v>
      </c>
      <c r="AH45" s="9">
        <v>151.54327759028061</v>
      </c>
      <c r="AI45" s="9">
        <v>118.0228714986045</v>
      </c>
    </row>
    <row r="46" spans="1:35" ht="15" x14ac:dyDescent="0.4">
      <c r="A46" s="56">
        <v>46082</v>
      </c>
      <c r="B46" s="53">
        <v>2026</v>
      </c>
      <c r="C46" s="53">
        <v>3</v>
      </c>
      <c r="D46" s="5" t="s">
        <v>71</v>
      </c>
      <c r="E46" s="9">
        <v>241.3865810050026</v>
      </c>
      <c r="F46" s="9">
        <v>100.6321690501988</v>
      </c>
      <c r="G46" s="9">
        <v>140.7544119548038</v>
      </c>
      <c r="H46" s="9">
        <v>83</v>
      </c>
      <c r="I46" s="9">
        <v>0.86320000000000008</v>
      </c>
      <c r="J46" s="9">
        <v>14.483194860300159</v>
      </c>
      <c r="K46" s="9">
        <v>12.069329050250129</v>
      </c>
      <c r="L46" s="9">
        <v>8.4485303351750929</v>
      </c>
      <c r="M46" s="9">
        <v>4.3449584580900469</v>
      </c>
      <c r="N46" s="9">
        <v>2.2989198190952629</v>
      </c>
      <c r="O46" s="9">
        <v>243.6743493645059</v>
      </c>
      <c r="P46" s="9">
        <v>0.59</v>
      </c>
      <c r="Q46" s="9">
        <v>99.906483239447411</v>
      </c>
      <c r="R46" s="9">
        <v>0.88478000000000001</v>
      </c>
      <c r="S46" s="9">
        <v>14.13311226314134</v>
      </c>
      <c r="T46" s="9">
        <v>11.69636876949628</v>
      </c>
      <c r="U46" s="9">
        <v>8.2849278783931997</v>
      </c>
      <c r="V46" s="9">
        <v>4.8734869872901179</v>
      </c>
      <c r="W46" s="5" t="s">
        <v>69</v>
      </c>
      <c r="X46" s="9">
        <v>241.3865810050026</v>
      </c>
      <c r="Y46" s="9">
        <v>100.6321690501988</v>
      </c>
      <c r="Z46" s="9">
        <v>0.86320000000000008</v>
      </c>
      <c r="AA46" s="9">
        <v>14.483194860300159</v>
      </c>
      <c r="AB46" s="9">
        <v>12.069329050250129</v>
      </c>
      <c r="AC46" s="9">
        <v>8.4485303351750929</v>
      </c>
      <c r="AD46" s="9">
        <v>4.3449584580900469</v>
      </c>
      <c r="AE46" s="9">
        <v>104.89015770907839</v>
      </c>
      <c r="AF46" s="9">
        <v>143.76786612505839</v>
      </c>
      <c r="AG46" s="9">
        <v>108.7686772140276</v>
      </c>
      <c r="AH46" s="9">
        <v>140.7544119548038</v>
      </c>
      <c r="AI46" s="9">
        <v>104.89015770907839</v>
      </c>
    </row>
    <row r="47" spans="1:35" ht="15" x14ac:dyDescent="0.4">
      <c r="A47" s="56">
        <v>46113</v>
      </c>
      <c r="B47" s="53">
        <v>2026</v>
      </c>
      <c r="C47" s="53">
        <v>4</v>
      </c>
      <c r="D47" s="5" t="s">
        <v>68</v>
      </c>
      <c r="E47" s="9">
        <v>647.9213326790873</v>
      </c>
      <c r="F47" s="9">
        <v>427.88842782139898</v>
      </c>
      <c r="G47" s="9">
        <v>220.03290485768829</v>
      </c>
      <c r="H47" s="9">
        <v>188</v>
      </c>
      <c r="I47" s="9">
        <v>1.6619200000000001</v>
      </c>
      <c r="J47" s="9">
        <v>29.156459970558931</v>
      </c>
      <c r="K47" s="9">
        <v>11.66258398822357</v>
      </c>
      <c r="L47" s="9">
        <v>22.677246643768061</v>
      </c>
      <c r="M47" s="9">
        <v>7.7750559921490474</v>
      </c>
      <c r="N47" s="9">
        <v>6.4792133267908731</v>
      </c>
      <c r="O47" s="9">
        <v>683.40404404958599</v>
      </c>
      <c r="P47" s="9">
        <v>0.34499999999999997</v>
      </c>
      <c r="Q47" s="9">
        <v>447.62964885247891</v>
      </c>
      <c r="R47" s="9">
        <v>1.703468</v>
      </c>
      <c r="S47" s="9">
        <v>31.43658602628096</v>
      </c>
      <c r="T47" s="9">
        <v>12.98467683694213</v>
      </c>
      <c r="U47" s="9">
        <v>23.235737497685921</v>
      </c>
      <c r="V47" s="9">
        <v>8.884252572644618</v>
      </c>
      <c r="W47" s="5" t="s">
        <v>69</v>
      </c>
      <c r="X47" s="9">
        <v>647.9213326790873</v>
      </c>
      <c r="Y47" s="9">
        <v>427.88842782139898</v>
      </c>
      <c r="Z47" s="9">
        <v>1.6619200000000001</v>
      </c>
      <c r="AA47" s="9">
        <v>29.156459970558931</v>
      </c>
      <c r="AB47" s="9">
        <v>11.66258398822357</v>
      </c>
      <c r="AC47" s="9">
        <v>22.677246643768061</v>
      </c>
      <c r="AD47" s="9">
        <v>7.7750559921490474</v>
      </c>
      <c r="AE47" s="9">
        <v>154.8746942551378</v>
      </c>
      <c r="AF47" s="9">
        <v>235.77439519710711</v>
      </c>
      <c r="AG47" s="9">
        <v>166.4139268361981</v>
      </c>
      <c r="AH47" s="9">
        <v>220.03290485768829</v>
      </c>
      <c r="AI47" s="9">
        <v>154.8746942551378</v>
      </c>
    </row>
    <row r="48" spans="1:35" ht="15" x14ac:dyDescent="0.4">
      <c r="A48" s="56">
        <v>46113</v>
      </c>
      <c r="B48" s="53">
        <v>2026</v>
      </c>
      <c r="C48" s="53">
        <v>4</v>
      </c>
      <c r="D48" s="5" t="s">
        <v>70</v>
      </c>
      <c r="E48" s="9">
        <v>377.39322491736061</v>
      </c>
      <c r="F48" s="9">
        <v>222.81002145571989</v>
      </c>
      <c r="G48" s="9">
        <v>154.58320346164069</v>
      </c>
      <c r="H48" s="9">
        <v>113</v>
      </c>
      <c r="I48" s="9">
        <v>0.99892000000000003</v>
      </c>
      <c r="J48" s="9">
        <v>10.5670102976861</v>
      </c>
      <c r="K48" s="9">
        <v>9.4348306229340135</v>
      </c>
      <c r="L48" s="9">
        <v>13.20876287210762</v>
      </c>
      <c r="M48" s="9">
        <v>4.5287186990083264</v>
      </c>
      <c r="N48" s="9">
        <v>3.773932249173606</v>
      </c>
      <c r="O48" s="9">
        <v>398.47251814057012</v>
      </c>
      <c r="P48" s="9">
        <v>0.41499999999999998</v>
      </c>
      <c r="Q48" s="9">
        <v>233.1064231122335</v>
      </c>
      <c r="R48" s="9">
        <v>1.0238929999999999</v>
      </c>
      <c r="S48" s="9">
        <v>11.954175544217099</v>
      </c>
      <c r="T48" s="9">
        <v>9.5633404353736822</v>
      </c>
      <c r="U48" s="9">
        <v>13.548065616779381</v>
      </c>
      <c r="V48" s="9">
        <v>5.1801427358274106</v>
      </c>
      <c r="W48" s="5" t="s">
        <v>69</v>
      </c>
      <c r="X48" s="9">
        <v>377.39322491736061</v>
      </c>
      <c r="Y48" s="9">
        <v>222.81002145571989</v>
      </c>
      <c r="Z48" s="9">
        <v>0.99892000000000003</v>
      </c>
      <c r="AA48" s="9">
        <v>10.5670102976861</v>
      </c>
      <c r="AB48" s="9">
        <v>9.4348306229340135</v>
      </c>
      <c r="AC48" s="9">
        <v>13.20876287210762</v>
      </c>
      <c r="AD48" s="9">
        <v>4.5287186990083264</v>
      </c>
      <c r="AE48" s="9">
        <v>120.3736796689129</v>
      </c>
      <c r="AF48" s="9">
        <v>165.36609502833659</v>
      </c>
      <c r="AG48" s="9">
        <v>129.27662043196639</v>
      </c>
      <c r="AH48" s="9">
        <v>154.58320346164069</v>
      </c>
      <c r="AI48" s="9">
        <v>120.3736796689129</v>
      </c>
    </row>
    <row r="49" spans="1:35" ht="15" x14ac:dyDescent="0.4">
      <c r="A49" s="56">
        <v>46113</v>
      </c>
      <c r="B49" s="53">
        <v>2026</v>
      </c>
      <c r="C49" s="53">
        <v>4</v>
      </c>
      <c r="D49" s="5" t="s">
        <v>71</v>
      </c>
      <c r="E49" s="9">
        <v>233.02748579868751</v>
      </c>
      <c r="F49" s="9">
        <v>100.2185742240208</v>
      </c>
      <c r="G49" s="9">
        <v>132.80891157466669</v>
      </c>
      <c r="H49" s="9">
        <v>83</v>
      </c>
      <c r="I49" s="9">
        <v>0.86320000000000008</v>
      </c>
      <c r="J49" s="9">
        <v>13.981649147921249</v>
      </c>
      <c r="K49" s="9">
        <v>11.65137428993437</v>
      </c>
      <c r="L49" s="9">
        <v>8.1559620029540625</v>
      </c>
      <c r="M49" s="9">
        <v>4.1944947443763736</v>
      </c>
      <c r="N49" s="9">
        <v>2.219309388558929</v>
      </c>
      <c r="O49" s="9">
        <v>239.39081670879099</v>
      </c>
      <c r="P49" s="9">
        <v>0.59</v>
      </c>
      <c r="Q49" s="9">
        <v>98.150234850604335</v>
      </c>
      <c r="R49" s="9">
        <v>0.88478000000000001</v>
      </c>
      <c r="S49" s="9">
        <v>13.884667369109881</v>
      </c>
      <c r="T49" s="9">
        <v>11.49075920202197</v>
      </c>
      <c r="U49" s="9">
        <v>8.139287768098896</v>
      </c>
      <c r="V49" s="9">
        <v>4.7878163341758224</v>
      </c>
      <c r="W49" s="5" t="s">
        <v>69</v>
      </c>
      <c r="X49" s="9">
        <v>233.02748579868751</v>
      </c>
      <c r="Y49" s="9">
        <v>100.2185742240208</v>
      </c>
      <c r="Z49" s="9">
        <v>0.86320000000000008</v>
      </c>
      <c r="AA49" s="9">
        <v>13.981649147921249</v>
      </c>
      <c r="AB49" s="9">
        <v>11.65137428993437</v>
      </c>
      <c r="AC49" s="9">
        <v>8.1559620029540625</v>
      </c>
      <c r="AD49" s="9">
        <v>4.1944947443763736</v>
      </c>
      <c r="AE49" s="9">
        <v>98.156726133856978</v>
      </c>
      <c r="AF49" s="9">
        <v>141.24058185818669</v>
      </c>
      <c r="AG49" s="9">
        <v>106.841087518956</v>
      </c>
      <c r="AH49" s="9">
        <v>132.80891157466669</v>
      </c>
      <c r="AI49" s="9">
        <v>98.156726133856978</v>
      </c>
    </row>
    <row r="50" spans="1:35" ht="15" x14ac:dyDescent="0.4">
      <c r="A50" s="56">
        <v>46143</v>
      </c>
      <c r="B50" s="53">
        <v>2026</v>
      </c>
      <c r="C50" s="53">
        <v>5</v>
      </c>
      <c r="D50" s="5" t="s">
        <v>68</v>
      </c>
      <c r="E50" s="9">
        <v>622.28681047057034</v>
      </c>
      <c r="F50" s="9">
        <v>413.24123498478451</v>
      </c>
      <c r="G50" s="9">
        <v>209.04557548578589</v>
      </c>
      <c r="H50" s="9">
        <v>188</v>
      </c>
      <c r="I50" s="9">
        <v>1.6619200000000001</v>
      </c>
      <c r="J50" s="9">
        <v>28.00290647117566</v>
      </c>
      <c r="K50" s="9">
        <v>11.201162588470259</v>
      </c>
      <c r="L50" s="9">
        <v>21.780038366469959</v>
      </c>
      <c r="M50" s="9">
        <v>7.4674417256468439</v>
      </c>
      <c r="N50" s="9">
        <v>6.2228681047057037</v>
      </c>
      <c r="O50" s="9">
        <v>637.37862854645039</v>
      </c>
      <c r="P50" s="9">
        <v>0.34499999999999997</v>
      </c>
      <c r="Q50" s="9">
        <v>417.48300169792498</v>
      </c>
      <c r="R50" s="9">
        <v>1.703468</v>
      </c>
      <c r="S50" s="9">
        <v>29.31941691313672</v>
      </c>
      <c r="T50" s="9">
        <v>12.11019394238256</v>
      </c>
      <c r="U50" s="9">
        <v>21.670873370579319</v>
      </c>
      <c r="V50" s="9">
        <v>8.285922171103854</v>
      </c>
      <c r="W50" s="5" t="s">
        <v>69</v>
      </c>
      <c r="X50" s="9">
        <v>622.28681047057034</v>
      </c>
      <c r="Y50" s="9">
        <v>413.24123498478451</v>
      </c>
      <c r="Z50" s="9">
        <v>1.6619200000000001</v>
      </c>
      <c r="AA50" s="9">
        <v>28.00290647117566</v>
      </c>
      <c r="AB50" s="9">
        <v>11.201162588470259</v>
      </c>
      <c r="AC50" s="9">
        <v>21.780038366469959</v>
      </c>
      <c r="AD50" s="9">
        <v>7.4674417256468439</v>
      </c>
      <c r="AE50" s="9">
        <v>146.39954805967</v>
      </c>
      <c r="AF50" s="9">
        <v>219.89562684852541</v>
      </c>
      <c r="AG50" s="9">
        <v>155.09167462242681</v>
      </c>
      <c r="AH50" s="9">
        <v>209.04557548578589</v>
      </c>
      <c r="AI50" s="9">
        <v>146.39954805967</v>
      </c>
    </row>
    <row r="51" spans="1:35" ht="15" x14ac:dyDescent="0.4">
      <c r="A51" s="56">
        <v>46143</v>
      </c>
      <c r="B51" s="53">
        <v>2026</v>
      </c>
      <c r="C51" s="53">
        <v>5</v>
      </c>
      <c r="D51" s="5" t="s">
        <v>70</v>
      </c>
      <c r="E51" s="9">
        <v>389.01871317971887</v>
      </c>
      <c r="F51" s="9">
        <v>231.25410239691669</v>
      </c>
      <c r="G51" s="9">
        <v>157.76461078280209</v>
      </c>
      <c r="H51" s="9">
        <v>113</v>
      </c>
      <c r="I51" s="9">
        <v>0.99892000000000003</v>
      </c>
      <c r="J51" s="9">
        <v>10.89252396903213</v>
      </c>
      <c r="K51" s="9">
        <v>9.7254678294929722</v>
      </c>
      <c r="L51" s="9">
        <v>13.61565496129016</v>
      </c>
      <c r="M51" s="9">
        <v>4.6682245581566262</v>
      </c>
      <c r="N51" s="9">
        <v>3.8901871317971888</v>
      </c>
      <c r="O51" s="9">
        <v>409.21721224438909</v>
      </c>
      <c r="P51" s="9">
        <v>0.41499999999999998</v>
      </c>
      <c r="Q51" s="9">
        <v>239.3920691629676</v>
      </c>
      <c r="R51" s="9">
        <v>1.0238929999999999</v>
      </c>
      <c r="S51" s="9">
        <v>12.27651636733167</v>
      </c>
      <c r="T51" s="9">
        <v>9.8212130938653388</v>
      </c>
      <c r="U51" s="9">
        <v>13.91338521630923</v>
      </c>
      <c r="V51" s="9">
        <v>5.3198237591770576</v>
      </c>
      <c r="W51" s="5" t="s">
        <v>69</v>
      </c>
      <c r="X51" s="9">
        <v>389.01871317971887</v>
      </c>
      <c r="Y51" s="9">
        <v>231.25410239691669</v>
      </c>
      <c r="Z51" s="9">
        <v>0.99892000000000003</v>
      </c>
      <c r="AA51" s="9">
        <v>10.89252396903213</v>
      </c>
      <c r="AB51" s="9">
        <v>9.7254678294929722</v>
      </c>
      <c r="AC51" s="9">
        <v>13.61565496129016</v>
      </c>
      <c r="AD51" s="9">
        <v>4.6682245581566262</v>
      </c>
      <c r="AE51" s="9">
        <v>122.5320440229869</v>
      </c>
      <c r="AF51" s="9">
        <v>169.82514308142149</v>
      </c>
      <c r="AG51" s="9">
        <v>132.79013540391529</v>
      </c>
      <c r="AH51" s="9">
        <v>157.76461078280209</v>
      </c>
      <c r="AI51" s="9">
        <v>122.5320440229869</v>
      </c>
    </row>
    <row r="52" spans="1:35" ht="15" x14ac:dyDescent="0.4">
      <c r="A52" s="56">
        <v>46143</v>
      </c>
      <c r="B52" s="53">
        <v>2026</v>
      </c>
      <c r="C52" s="53">
        <v>5</v>
      </c>
      <c r="D52" s="5" t="s">
        <v>71</v>
      </c>
      <c r="E52" s="9">
        <v>243.3528549621164</v>
      </c>
      <c r="F52" s="9">
        <v>100.00764951211281</v>
      </c>
      <c r="G52" s="9">
        <v>143.34520545000359</v>
      </c>
      <c r="H52" s="9">
        <v>83</v>
      </c>
      <c r="I52" s="9">
        <v>0.86320000000000008</v>
      </c>
      <c r="J52" s="9">
        <v>14.60117129772698</v>
      </c>
      <c r="K52" s="9">
        <v>12.16764274810582</v>
      </c>
      <c r="L52" s="9">
        <v>8.5173499236740753</v>
      </c>
      <c r="M52" s="9">
        <v>4.3803513893180952</v>
      </c>
      <c r="N52" s="9">
        <v>2.3176462377344418</v>
      </c>
      <c r="O52" s="9">
        <v>246.61239970149839</v>
      </c>
      <c r="P52" s="9">
        <v>0.59</v>
      </c>
      <c r="Q52" s="9">
        <v>101.11108387761431</v>
      </c>
      <c r="R52" s="9">
        <v>0.88478000000000001</v>
      </c>
      <c r="S52" s="9">
        <v>14.303519182686911</v>
      </c>
      <c r="T52" s="9">
        <v>11.83739518567192</v>
      </c>
      <c r="U52" s="9">
        <v>8.3848215898509455</v>
      </c>
      <c r="V52" s="9">
        <v>4.9322479940299679</v>
      </c>
      <c r="W52" s="5" t="s">
        <v>69</v>
      </c>
      <c r="X52" s="9">
        <v>243.3528549621164</v>
      </c>
      <c r="Y52" s="9">
        <v>100.00764951211281</v>
      </c>
      <c r="Z52" s="9">
        <v>0.86320000000000008</v>
      </c>
      <c r="AA52" s="9">
        <v>14.60117129772698</v>
      </c>
      <c r="AB52" s="9">
        <v>12.16764274810582</v>
      </c>
      <c r="AC52" s="9">
        <v>8.5173499236740753</v>
      </c>
      <c r="AD52" s="9">
        <v>4.3803513893180952</v>
      </c>
      <c r="AE52" s="9">
        <v>107.1958414804967</v>
      </c>
      <c r="AF52" s="9">
        <v>145.50131582388411</v>
      </c>
      <c r="AG52" s="9">
        <v>110.0907998656743</v>
      </c>
      <c r="AH52" s="9">
        <v>143.34520545000359</v>
      </c>
      <c r="AI52" s="9">
        <v>107.1958414804967</v>
      </c>
    </row>
    <row r="53" spans="1:35" ht="15" x14ac:dyDescent="0.4">
      <c r="A53" s="56">
        <v>46174</v>
      </c>
      <c r="B53" s="53">
        <v>2026</v>
      </c>
      <c r="C53" s="53">
        <v>6</v>
      </c>
      <c r="D53" s="5" t="s">
        <v>68</v>
      </c>
      <c r="E53" s="9">
        <v>650.22115130418956</v>
      </c>
      <c r="F53" s="9">
        <v>427.1894031148687</v>
      </c>
      <c r="G53" s="9">
        <v>223.03174818932089</v>
      </c>
      <c r="H53" s="9">
        <v>188</v>
      </c>
      <c r="I53" s="9">
        <v>1.6619200000000001</v>
      </c>
      <c r="J53" s="9">
        <v>29.25995180868853</v>
      </c>
      <c r="K53" s="9">
        <v>11.703980723475411</v>
      </c>
      <c r="L53" s="9">
        <v>22.757740295646641</v>
      </c>
      <c r="M53" s="9">
        <v>7.8026538156502747</v>
      </c>
      <c r="N53" s="9">
        <v>6.502211513041896</v>
      </c>
      <c r="O53" s="9">
        <v>661.00122935778882</v>
      </c>
      <c r="P53" s="9">
        <v>0.34499999999999997</v>
      </c>
      <c r="Q53" s="9">
        <v>432.95580522935171</v>
      </c>
      <c r="R53" s="9">
        <v>1.703468</v>
      </c>
      <c r="S53" s="9">
        <v>30.406056550458281</v>
      </c>
      <c r="T53" s="9">
        <v>12.55902335779799</v>
      </c>
      <c r="U53" s="9">
        <v>22.474041798164819</v>
      </c>
      <c r="V53" s="9">
        <v>8.5930159816512539</v>
      </c>
      <c r="W53" s="5" t="s">
        <v>69</v>
      </c>
      <c r="X53" s="9">
        <v>650.22115130418956</v>
      </c>
      <c r="Y53" s="9">
        <v>427.1894031148687</v>
      </c>
      <c r="Z53" s="9">
        <v>1.6619200000000001</v>
      </c>
      <c r="AA53" s="9">
        <v>29.25995180868853</v>
      </c>
      <c r="AB53" s="9">
        <v>11.703980723475411</v>
      </c>
      <c r="AC53" s="9">
        <v>22.757740295646641</v>
      </c>
      <c r="AD53" s="9">
        <v>7.8026538156502747</v>
      </c>
      <c r="AE53" s="9">
        <v>157.64815536151031</v>
      </c>
      <c r="AF53" s="9">
        <v>228.04542412843711</v>
      </c>
      <c r="AG53" s="9">
        <v>160.90283442201601</v>
      </c>
      <c r="AH53" s="9">
        <v>223.03174818932089</v>
      </c>
      <c r="AI53" s="9">
        <v>157.64815536151031</v>
      </c>
    </row>
    <row r="54" spans="1:35" ht="15" x14ac:dyDescent="0.4">
      <c r="A54" s="56">
        <v>46174</v>
      </c>
      <c r="B54" s="53">
        <v>2026</v>
      </c>
      <c r="C54" s="53">
        <v>6</v>
      </c>
      <c r="D54" s="5" t="s">
        <v>70</v>
      </c>
      <c r="E54" s="9">
        <v>383.48362600716979</v>
      </c>
      <c r="F54" s="9">
        <v>226.6429464871072</v>
      </c>
      <c r="G54" s="9">
        <v>156.84067952006271</v>
      </c>
      <c r="H54" s="9">
        <v>113</v>
      </c>
      <c r="I54" s="9">
        <v>0.99892000000000003</v>
      </c>
      <c r="J54" s="9">
        <v>10.73754152820076</v>
      </c>
      <c r="K54" s="9">
        <v>9.5870906501792472</v>
      </c>
      <c r="L54" s="9">
        <v>13.421926910250949</v>
      </c>
      <c r="M54" s="9">
        <v>4.6018035120860379</v>
      </c>
      <c r="N54" s="9">
        <v>3.834836260071699</v>
      </c>
      <c r="O54" s="9">
        <v>398.68871416640877</v>
      </c>
      <c r="P54" s="9">
        <v>0.41499999999999998</v>
      </c>
      <c r="Q54" s="9">
        <v>233.23289778734909</v>
      </c>
      <c r="R54" s="9">
        <v>1.0238929999999999</v>
      </c>
      <c r="S54" s="9">
        <v>11.96066142499226</v>
      </c>
      <c r="T54" s="9">
        <v>9.5685291399938102</v>
      </c>
      <c r="U54" s="9">
        <v>13.5554162816579</v>
      </c>
      <c r="V54" s="9">
        <v>5.1829532841633137</v>
      </c>
      <c r="W54" s="5" t="s">
        <v>69</v>
      </c>
      <c r="X54" s="9">
        <v>383.48362600716979</v>
      </c>
      <c r="Y54" s="9">
        <v>226.6429464871072</v>
      </c>
      <c r="Z54" s="9">
        <v>0.99892000000000003</v>
      </c>
      <c r="AA54" s="9">
        <v>10.73754152820076</v>
      </c>
      <c r="AB54" s="9">
        <v>9.5870906501792472</v>
      </c>
      <c r="AC54" s="9">
        <v>13.421926910250949</v>
      </c>
      <c r="AD54" s="9">
        <v>4.6018035120860379</v>
      </c>
      <c r="AE54" s="9">
        <v>122.09520043143171</v>
      </c>
      <c r="AF54" s="9">
        <v>165.45581637905971</v>
      </c>
      <c r="AG54" s="9">
        <v>129.3473165324157</v>
      </c>
      <c r="AH54" s="9">
        <v>156.84067952006271</v>
      </c>
      <c r="AI54" s="9">
        <v>122.09520043143171</v>
      </c>
    </row>
    <row r="55" spans="1:35" ht="15" x14ac:dyDescent="0.4">
      <c r="A55" s="56">
        <v>46174</v>
      </c>
      <c r="B55" s="53">
        <v>2026</v>
      </c>
      <c r="C55" s="53">
        <v>6</v>
      </c>
      <c r="D55" s="5" t="s">
        <v>71</v>
      </c>
      <c r="E55" s="9">
        <v>244.49765665408529</v>
      </c>
      <c r="F55" s="9">
        <v>103.2659496311138</v>
      </c>
      <c r="G55" s="9">
        <v>141.23170702297151</v>
      </c>
      <c r="H55" s="9">
        <v>83</v>
      </c>
      <c r="I55" s="9">
        <v>0.86320000000000008</v>
      </c>
      <c r="J55" s="9">
        <v>14.669859399245119</v>
      </c>
      <c r="K55" s="9">
        <v>12.22488283270426</v>
      </c>
      <c r="L55" s="9">
        <v>8.5574179828929857</v>
      </c>
      <c r="M55" s="9">
        <v>4.4009578197735344</v>
      </c>
      <c r="N55" s="9">
        <v>2.3285491109912879</v>
      </c>
      <c r="O55" s="9">
        <v>250.38538593606481</v>
      </c>
      <c r="P55" s="9">
        <v>0.59</v>
      </c>
      <c r="Q55" s="9">
        <v>102.6580082337866</v>
      </c>
      <c r="R55" s="9">
        <v>0.88478000000000001</v>
      </c>
      <c r="S55" s="9">
        <v>14.522352384291761</v>
      </c>
      <c r="T55" s="9">
        <v>12.018498524931109</v>
      </c>
      <c r="U55" s="9">
        <v>8.5131031218262052</v>
      </c>
      <c r="V55" s="9">
        <v>5.0077077187212966</v>
      </c>
      <c r="W55" s="5" t="s">
        <v>69</v>
      </c>
      <c r="X55" s="9">
        <v>244.49765665408529</v>
      </c>
      <c r="Y55" s="9">
        <v>103.2659496311138</v>
      </c>
      <c r="Z55" s="9">
        <v>0.86320000000000008</v>
      </c>
      <c r="AA55" s="9">
        <v>14.669859399245119</v>
      </c>
      <c r="AB55" s="9">
        <v>12.22488283270426</v>
      </c>
      <c r="AC55" s="9">
        <v>8.5574179828929857</v>
      </c>
      <c r="AD55" s="9">
        <v>4.4009578197735344</v>
      </c>
      <c r="AE55" s="9">
        <v>104.91634680812911</v>
      </c>
      <c r="AF55" s="9">
        <v>147.72737770227829</v>
      </c>
      <c r="AG55" s="9">
        <v>111.7886436712292</v>
      </c>
      <c r="AH55" s="9">
        <v>141.23170702297151</v>
      </c>
      <c r="AI55" s="9">
        <v>104.91634680812911</v>
      </c>
    </row>
    <row r="56" spans="1:35" ht="15" x14ac:dyDescent="0.4">
      <c r="A56" s="56">
        <v>46204</v>
      </c>
      <c r="B56" s="53">
        <v>2026</v>
      </c>
      <c r="C56" s="53">
        <v>7</v>
      </c>
      <c r="D56" s="5" t="s">
        <v>68</v>
      </c>
      <c r="E56" s="9">
        <v>637.9493923764976</v>
      </c>
      <c r="F56" s="9">
        <v>425.54252646730191</v>
      </c>
      <c r="G56" s="9">
        <v>212.40686590919569</v>
      </c>
      <c r="H56" s="9">
        <v>188</v>
      </c>
      <c r="I56" s="9">
        <v>1.6619200000000001</v>
      </c>
      <c r="J56" s="9">
        <v>28.707722656942391</v>
      </c>
      <c r="K56" s="9">
        <v>11.48308906277696</v>
      </c>
      <c r="L56" s="9">
        <v>22.328228733177419</v>
      </c>
      <c r="M56" s="9">
        <v>7.6553927085179714</v>
      </c>
      <c r="N56" s="9">
        <v>6.3794939237649757</v>
      </c>
      <c r="O56" s="9">
        <v>657.03886177136405</v>
      </c>
      <c r="P56" s="9">
        <v>0.34499999999999997</v>
      </c>
      <c r="Q56" s="9">
        <v>430.36045446024349</v>
      </c>
      <c r="R56" s="9">
        <v>1.703468</v>
      </c>
      <c r="S56" s="9">
        <v>30.223787641482751</v>
      </c>
      <c r="T56" s="9">
        <v>12.483738373655919</v>
      </c>
      <c r="U56" s="9">
        <v>22.339321300226381</v>
      </c>
      <c r="V56" s="9">
        <v>8.5415052030277323</v>
      </c>
      <c r="W56" s="5" t="s">
        <v>69</v>
      </c>
      <c r="X56" s="9">
        <v>637.9493923764976</v>
      </c>
      <c r="Y56" s="9">
        <v>425.54252646730191</v>
      </c>
      <c r="Z56" s="9">
        <v>1.6619200000000001</v>
      </c>
      <c r="AA56" s="9">
        <v>28.707722656942391</v>
      </c>
      <c r="AB56" s="9">
        <v>11.48308906277696</v>
      </c>
      <c r="AC56" s="9">
        <v>22.328228733177419</v>
      </c>
      <c r="AD56" s="9">
        <v>7.6553927085179714</v>
      </c>
      <c r="AE56" s="9">
        <v>148.2259054562989</v>
      </c>
      <c r="AF56" s="9">
        <v>226.67840731112059</v>
      </c>
      <c r="AG56" s="9">
        <v>159.92809199575561</v>
      </c>
      <c r="AH56" s="9">
        <v>212.40686590919569</v>
      </c>
      <c r="AI56" s="9">
        <v>148.2259054562989</v>
      </c>
    </row>
    <row r="57" spans="1:35" ht="15" x14ac:dyDescent="0.4">
      <c r="A57" s="56">
        <v>46204</v>
      </c>
      <c r="B57" s="53">
        <v>2026</v>
      </c>
      <c r="C57" s="53">
        <v>7</v>
      </c>
      <c r="D57" s="5" t="s">
        <v>70</v>
      </c>
      <c r="E57" s="9">
        <v>378.01200036849832</v>
      </c>
      <c r="F57" s="9">
        <v>222.58493501727949</v>
      </c>
      <c r="G57" s="9">
        <v>155.42706535121869</v>
      </c>
      <c r="H57" s="9">
        <v>113</v>
      </c>
      <c r="I57" s="9">
        <v>0.99892000000000003</v>
      </c>
      <c r="J57" s="9">
        <v>10.58433601031795</v>
      </c>
      <c r="K57" s="9">
        <v>9.4503000092124569</v>
      </c>
      <c r="L57" s="9">
        <v>13.23042001289744</v>
      </c>
      <c r="M57" s="9">
        <v>4.5361440044219794</v>
      </c>
      <c r="N57" s="9">
        <v>3.7801200036849831</v>
      </c>
      <c r="O57" s="9">
        <v>388.42560972429408</v>
      </c>
      <c r="P57" s="9">
        <v>0.41499999999999998</v>
      </c>
      <c r="Q57" s="9">
        <v>227.228981688712</v>
      </c>
      <c r="R57" s="9">
        <v>1.0238929999999999</v>
      </c>
      <c r="S57" s="9">
        <v>11.652768291728821</v>
      </c>
      <c r="T57" s="9">
        <v>9.3222146333830587</v>
      </c>
      <c r="U57" s="9">
        <v>13.206470730626</v>
      </c>
      <c r="V57" s="9">
        <v>5.0495329264158224</v>
      </c>
      <c r="W57" s="5" t="s">
        <v>69</v>
      </c>
      <c r="X57" s="9">
        <v>378.01200036849832</v>
      </c>
      <c r="Y57" s="9">
        <v>222.58493501727949</v>
      </c>
      <c r="Z57" s="9">
        <v>0.99892000000000003</v>
      </c>
      <c r="AA57" s="9">
        <v>10.58433601031795</v>
      </c>
      <c r="AB57" s="9">
        <v>9.4503000092124569</v>
      </c>
      <c r="AC57" s="9">
        <v>13.23042001289744</v>
      </c>
      <c r="AD57" s="9">
        <v>4.5361440044219794</v>
      </c>
      <c r="AE57" s="9">
        <v>121.1630893187909</v>
      </c>
      <c r="AF57" s="9">
        <v>161.19662803558211</v>
      </c>
      <c r="AG57" s="9">
        <v>125.9912813798442</v>
      </c>
      <c r="AH57" s="9">
        <v>155.42706535121869</v>
      </c>
      <c r="AI57" s="9">
        <v>121.1630893187909</v>
      </c>
    </row>
    <row r="58" spans="1:35" ht="15" x14ac:dyDescent="0.4">
      <c r="A58" s="56">
        <v>46204</v>
      </c>
      <c r="B58" s="53">
        <v>2026</v>
      </c>
      <c r="C58" s="53">
        <v>7</v>
      </c>
      <c r="D58" s="5" t="s">
        <v>71</v>
      </c>
      <c r="E58" s="9">
        <v>234.9769754480923</v>
      </c>
      <c r="F58" s="9">
        <v>101.05527018279101</v>
      </c>
      <c r="G58" s="9">
        <v>133.92170526530131</v>
      </c>
      <c r="H58" s="9">
        <v>83</v>
      </c>
      <c r="I58" s="9">
        <v>0.86320000000000008</v>
      </c>
      <c r="J58" s="9">
        <v>14.09861852688554</v>
      </c>
      <c r="K58" s="9">
        <v>11.748848772404619</v>
      </c>
      <c r="L58" s="9">
        <v>8.2241941406832328</v>
      </c>
      <c r="M58" s="9">
        <v>4.2295855580656614</v>
      </c>
      <c r="N58" s="9">
        <v>2.237875956648498</v>
      </c>
      <c r="O58" s="9">
        <v>243.21611840851051</v>
      </c>
      <c r="P58" s="9">
        <v>0.59</v>
      </c>
      <c r="Q58" s="9">
        <v>99.71860854748931</v>
      </c>
      <c r="R58" s="9">
        <v>0.88478000000000001</v>
      </c>
      <c r="S58" s="9">
        <v>14.106534867693609</v>
      </c>
      <c r="T58" s="9">
        <v>11.674373683608501</v>
      </c>
      <c r="U58" s="9">
        <v>8.2693480258893572</v>
      </c>
      <c r="V58" s="9">
        <v>4.8643223681702086</v>
      </c>
      <c r="W58" s="5" t="s">
        <v>69</v>
      </c>
      <c r="X58" s="9">
        <v>234.9769754480923</v>
      </c>
      <c r="Y58" s="9">
        <v>101.05527018279101</v>
      </c>
      <c r="Z58" s="9">
        <v>0.86320000000000008</v>
      </c>
      <c r="AA58" s="9">
        <v>14.09861852688554</v>
      </c>
      <c r="AB58" s="9">
        <v>11.748848772404619</v>
      </c>
      <c r="AC58" s="9">
        <v>8.2241941406832328</v>
      </c>
      <c r="AD58" s="9">
        <v>4.2295855580656614</v>
      </c>
      <c r="AE58" s="9">
        <v>98.986843825327909</v>
      </c>
      <c r="AF58" s="9">
        <v>143.4975098610212</v>
      </c>
      <c r="AG58" s="9">
        <v>108.5624732838297</v>
      </c>
      <c r="AH58" s="9">
        <v>133.92170526530131</v>
      </c>
      <c r="AI58" s="9">
        <v>98.986843825327909</v>
      </c>
    </row>
    <row r="59" spans="1:35" ht="15" x14ac:dyDescent="0.4">
      <c r="A59" s="56">
        <v>46235</v>
      </c>
      <c r="B59" s="53">
        <v>2026</v>
      </c>
      <c r="C59" s="53">
        <v>8</v>
      </c>
      <c r="D59" s="5" t="s">
        <v>68</v>
      </c>
      <c r="E59" s="9">
        <v>632.20949485697554</v>
      </c>
      <c r="F59" s="9">
        <v>418.62404790356481</v>
      </c>
      <c r="G59" s="9">
        <v>213.58544695341081</v>
      </c>
      <c r="H59" s="9">
        <v>188</v>
      </c>
      <c r="I59" s="9">
        <v>1.6619200000000001</v>
      </c>
      <c r="J59" s="9">
        <v>28.449427268563898</v>
      </c>
      <c r="K59" s="9">
        <v>11.379770907425559</v>
      </c>
      <c r="L59" s="9">
        <v>22.127332319994149</v>
      </c>
      <c r="M59" s="9">
        <v>7.5865139382837068</v>
      </c>
      <c r="N59" s="9">
        <v>6.3220949485697551</v>
      </c>
      <c r="O59" s="9">
        <v>664.52313065110741</v>
      </c>
      <c r="P59" s="9">
        <v>0.34499999999999997</v>
      </c>
      <c r="Q59" s="9">
        <v>435.26265057647538</v>
      </c>
      <c r="R59" s="9">
        <v>1.703468</v>
      </c>
      <c r="S59" s="9">
        <v>30.568064009950941</v>
      </c>
      <c r="T59" s="9">
        <v>12.62593948237104</v>
      </c>
      <c r="U59" s="9">
        <v>22.593786442137649</v>
      </c>
      <c r="V59" s="9">
        <v>8.6388006984643955</v>
      </c>
      <c r="W59" s="5" t="s">
        <v>69</v>
      </c>
      <c r="X59" s="9">
        <v>632.20949485697554</v>
      </c>
      <c r="Y59" s="9">
        <v>418.62404790356481</v>
      </c>
      <c r="Z59" s="9">
        <v>1.6619200000000001</v>
      </c>
      <c r="AA59" s="9">
        <v>28.449427268563898</v>
      </c>
      <c r="AB59" s="9">
        <v>11.379770907425559</v>
      </c>
      <c r="AC59" s="9">
        <v>22.127332319994149</v>
      </c>
      <c r="AD59" s="9">
        <v>7.5865139382837068</v>
      </c>
      <c r="AE59" s="9">
        <v>149.9669964574272</v>
      </c>
      <c r="AF59" s="9">
        <v>229.260480074632</v>
      </c>
      <c r="AG59" s="9">
        <v>161.76922214017239</v>
      </c>
      <c r="AH59" s="9">
        <v>213.58544695341081</v>
      </c>
      <c r="AI59" s="9">
        <v>149.9669964574272</v>
      </c>
    </row>
    <row r="60" spans="1:35" ht="15" x14ac:dyDescent="0.4">
      <c r="A60" s="56">
        <v>46235</v>
      </c>
      <c r="B60" s="53">
        <v>2026</v>
      </c>
      <c r="C60" s="53">
        <v>8</v>
      </c>
      <c r="D60" s="5" t="s">
        <v>70</v>
      </c>
      <c r="E60" s="9">
        <v>379.88716976388662</v>
      </c>
      <c r="F60" s="9">
        <v>224.09258752008961</v>
      </c>
      <c r="G60" s="9">
        <v>155.79458224379701</v>
      </c>
      <c r="H60" s="9">
        <v>113</v>
      </c>
      <c r="I60" s="9">
        <v>0.99892000000000003</v>
      </c>
      <c r="J60" s="9">
        <v>10.636840753388819</v>
      </c>
      <c r="K60" s="9">
        <v>9.4971792440971647</v>
      </c>
      <c r="L60" s="9">
        <v>13.296050941736031</v>
      </c>
      <c r="M60" s="9">
        <v>4.5586460371666391</v>
      </c>
      <c r="N60" s="9">
        <v>3.798871697638865</v>
      </c>
      <c r="O60" s="9">
        <v>391.79996551539659</v>
      </c>
      <c r="P60" s="9">
        <v>0.41499999999999998</v>
      </c>
      <c r="Q60" s="9">
        <v>229.202979826507</v>
      </c>
      <c r="R60" s="9">
        <v>1.0238929999999999</v>
      </c>
      <c r="S60" s="9">
        <v>11.7539989654619</v>
      </c>
      <c r="T60" s="9">
        <v>9.4031991723695185</v>
      </c>
      <c r="U60" s="9">
        <v>13.32119882752349</v>
      </c>
      <c r="V60" s="9">
        <v>5.0933995517001556</v>
      </c>
      <c r="W60" s="5" t="s">
        <v>69</v>
      </c>
      <c r="X60" s="9">
        <v>379.88716976388662</v>
      </c>
      <c r="Y60" s="9">
        <v>224.09258752008961</v>
      </c>
      <c r="Z60" s="9">
        <v>0.99892000000000003</v>
      </c>
      <c r="AA60" s="9">
        <v>10.636840753388819</v>
      </c>
      <c r="AB60" s="9">
        <v>9.4971792440971647</v>
      </c>
      <c r="AC60" s="9">
        <v>13.296050941736031</v>
      </c>
      <c r="AD60" s="9">
        <v>4.5586460371666391</v>
      </c>
      <c r="AE60" s="9">
        <v>121.36559130457501</v>
      </c>
      <c r="AF60" s="9">
        <v>162.59698568888959</v>
      </c>
      <c r="AG60" s="9">
        <v>127.0946957235347</v>
      </c>
      <c r="AH60" s="9">
        <v>155.79458224379701</v>
      </c>
      <c r="AI60" s="9">
        <v>121.36559130457501</v>
      </c>
    </row>
    <row r="61" spans="1:35" ht="15" x14ac:dyDescent="0.4">
      <c r="A61" s="56">
        <v>46235</v>
      </c>
      <c r="B61" s="53">
        <v>2026</v>
      </c>
      <c r="C61" s="53">
        <v>8</v>
      </c>
      <c r="D61" s="5" t="s">
        <v>71</v>
      </c>
      <c r="E61" s="9">
        <v>250.55200605529521</v>
      </c>
      <c r="F61" s="9">
        <v>105.64924093028699</v>
      </c>
      <c r="G61" s="9">
        <v>144.90276512500819</v>
      </c>
      <c r="H61" s="9">
        <v>83</v>
      </c>
      <c r="I61" s="9">
        <v>0.86320000000000008</v>
      </c>
      <c r="J61" s="9">
        <v>15.03312036331771</v>
      </c>
      <c r="K61" s="9">
        <v>12.52760030276476</v>
      </c>
      <c r="L61" s="9">
        <v>8.769320211935332</v>
      </c>
      <c r="M61" s="9">
        <v>4.5099361089953129</v>
      </c>
      <c r="N61" s="9">
        <v>2.3862095814790019</v>
      </c>
      <c r="O61" s="9">
        <v>260.48866858343922</v>
      </c>
      <c r="P61" s="9">
        <v>0.59</v>
      </c>
      <c r="Q61" s="9">
        <v>106.8003541192101</v>
      </c>
      <c r="R61" s="9">
        <v>0.88478000000000001</v>
      </c>
      <c r="S61" s="9">
        <v>15.10834277783947</v>
      </c>
      <c r="T61" s="9">
        <v>12.503456092005081</v>
      </c>
      <c r="U61" s="9">
        <v>8.8566147318369328</v>
      </c>
      <c r="V61" s="9">
        <v>5.2097733716687831</v>
      </c>
      <c r="W61" s="5" t="s">
        <v>69</v>
      </c>
      <c r="X61" s="9">
        <v>250.55200605529521</v>
      </c>
      <c r="Y61" s="9">
        <v>105.64924093028699</v>
      </c>
      <c r="Z61" s="9">
        <v>0.86320000000000008</v>
      </c>
      <c r="AA61" s="9">
        <v>15.03312036331771</v>
      </c>
      <c r="AB61" s="9">
        <v>12.52760030276476</v>
      </c>
      <c r="AC61" s="9">
        <v>8.769320211935332</v>
      </c>
      <c r="AD61" s="9">
        <v>4.5099361089953129</v>
      </c>
      <c r="AE61" s="9">
        <v>107.7095242469904</v>
      </c>
      <c r="AF61" s="9">
        <v>153.68831446422911</v>
      </c>
      <c r="AG61" s="9">
        <v>116.3351208625476</v>
      </c>
      <c r="AH61" s="9">
        <v>144.90276512500819</v>
      </c>
      <c r="AI61" s="9">
        <v>107.7095242469904</v>
      </c>
    </row>
    <row r="62" spans="1:35" ht="15" x14ac:dyDescent="0.4">
      <c r="A62" s="56">
        <v>46266</v>
      </c>
      <c r="B62" s="53">
        <v>2026</v>
      </c>
      <c r="C62" s="53">
        <v>9</v>
      </c>
      <c r="D62" s="5" t="s">
        <v>68</v>
      </c>
      <c r="E62" s="9">
        <v>633.1890897631846</v>
      </c>
      <c r="F62" s="9">
        <v>417.44165650915392</v>
      </c>
      <c r="G62" s="9">
        <v>215.74743325403071</v>
      </c>
      <c r="H62" s="9">
        <v>188</v>
      </c>
      <c r="I62" s="9">
        <v>1.6619200000000001</v>
      </c>
      <c r="J62" s="9">
        <v>28.493509039343309</v>
      </c>
      <c r="K62" s="9">
        <v>11.39740361573732</v>
      </c>
      <c r="L62" s="9">
        <v>22.161618141711461</v>
      </c>
      <c r="M62" s="9">
        <v>7.5982690771582151</v>
      </c>
      <c r="N62" s="9">
        <v>6.3318908976318458</v>
      </c>
      <c r="O62" s="9">
        <v>632.71256335843452</v>
      </c>
      <c r="P62" s="9">
        <v>0.34499999999999997</v>
      </c>
      <c r="Q62" s="9">
        <v>414.42672899977458</v>
      </c>
      <c r="R62" s="9">
        <v>1.703468</v>
      </c>
      <c r="S62" s="9">
        <v>29.10477791448799</v>
      </c>
      <c r="T62" s="9">
        <v>12.021538703810259</v>
      </c>
      <c r="U62" s="9">
        <v>21.512227154186771</v>
      </c>
      <c r="V62" s="9">
        <v>8.2252633236596484</v>
      </c>
      <c r="W62" s="5" t="s">
        <v>72</v>
      </c>
      <c r="X62" s="9">
        <v>632.71256335843452</v>
      </c>
      <c r="Y62" s="9">
        <v>414.42672899977458</v>
      </c>
      <c r="Z62" s="9">
        <v>1.703468</v>
      </c>
      <c r="AA62" s="9">
        <v>29.10477791448799</v>
      </c>
      <c r="AB62" s="9">
        <v>12.021538703810259</v>
      </c>
      <c r="AC62" s="9">
        <v>21.512227154186771</v>
      </c>
      <c r="AD62" s="9">
        <v>8.2252633236596484</v>
      </c>
      <c r="AE62" s="9">
        <v>152.0329824572386</v>
      </c>
      <c r="AF62" s="9">
        <v>218.28583435865991</v>
      </c>
      <c r="AG62" s="9">
        <v>153.94382258617489</v>
      </c>
      <c r="AH62" s="9">
        <v>218.28583435865991</v>
      </c>
      <c r="AI62" s="9">
        <v>153.94382258617489</v>
      </c>
    </row>
    <row r="63" spans="1:35" ht="15" x14ac:dyDescent="0.4">
      <c r="A63" s="56">
        <v>46266</v>
      </c>
      <c r="B63" s="53">
        <v>2026</v>
      </c>
      <c r="C63" s="53">
        <v>9</v>
      </c>
      <c r="D63" s="5" t="s">
        <v>70</v>
      </c>
      <c r="E63" s="9">
        <v>391.04766762019409</v>
      </c>
      <c r="F63" s="9">
        <v>228.10310881062651</v>
      </c>
      <c r="G63" s="9">
        <v>162.9445588095677</v>
      </c>
      <c r="H63" s="9">
        <v>113</v>
      </c>
      <c r="I63" s="9">
        <v>0.99892000000000003</v>
      </c>
      <c r="J63" s="9">
        <v>10.94933469336544</v>
      </c>
      <c r="K63" s="9">
        <v>9.776191690504854</v>
      </c>
      <c r="L63" s="9">
        <v>13.686668366706799</v>
      </c>
      <c r="M63" s="9">
        <v>4.6925720114423299</v>
      </c>
      <c r="N63" s="9">
        <v>3.9104766762019421</v>
      </c>
      <c r="O63" s="9">
        <v>402.49332938712558</v>
      </c>
      <c r="P63" s="9">
        <v>0.41499999999999998</v>
      </c>
      <c r="Q63" s="9">
        <v>235.45859769146841</v>
      </c>
      <c r="R63" s="9">
        <v>1.0238929999999999</v>
      </c>
      <c r="S63" s="9">
        <v>12.074799881613769</v>
      </c>
      <c r="T63" s="9">
        <v>9.6598399052910136</v>
      </c>
      <c r="U63" s="9">
        <v>13.684773199162271</v>
      </c>
      <c r="V63" s="9">
        <v>5.2324132820326321</v>
      </c>
      <c r="W63" s="5" t="s">
        <v>72</v>
      </c>
      <c r="X63" s="9">
        <v>402.49332938712558</v>
      </c>
      <c r="Y63" s="9">
        <v>235.45859769146841</v>
      </c>
      <c r="Z63" s="9">
        <v>1.0238929999999999</v>
      </c>
      <c r="AA63" s="9">
        <v>12.074799881613769</v>
      </c>
      <c r="AB63" s="9">
        <v>9.6598399052910136</v>
      </c>
      <c r="AC63" s="9">
        <v>13.684773199162271</v>
      </c>
      <c r="AD63" s="9">
        <v>5.2324132820326321</v>
      </c>
      <c r="AE63" s="9">
        <v>127.5334440589906</v>
      </c>
      <c r="AF63" s="9">
        <v>167.03473169565709</v>
      </c>
      <c r="AG63" s="9">
        <v>130.59142570959011</v>
      </c>
      <c r="AH63" s="9">
        <v>167.03473169565709</v>
      </c>
      <c r="AI63" s="9">
        <v>130.59142570959011</v>
      </c>
    </row>
    <row r="64" spans="1:35" ht="15" x14ac:dyDescent="0.4">
      <c r="A64" s="56">
        <v>46266</v>
      </c>
      <c r="B64" s="53">
        <v>2026</v>
      </c>
      <c r="C64" s="53">
        <v>9</v>
      </c>
      <c r="D64" s="5" t="s">
        <v>71</v>
      </c>
      <c r="E64" s="9">
        <v>253.239642305346</v>
      </c>
      <c r="F64" s="9">
        <v>105.731647428643</v>
      </c>
      <c r="G64" s="9">
        <v>147.50799487670301</v>
      </c>
      <c r="H64" s="9">
        <v>83</v>
      </c>
      <c r="I64" s="9">
        <v>0.86320000000000008</v>
      </c>
      <c r="J64" s="9">
        <v>15.194378538320761</v>
      </c>
      <c r="K64" s="9">
        <v>12.6619821152673</v>
      </c>
      <c r="L64" s="9">
        <v>8.8633874806871109</v>
      </c>
      <c r="M64" s="9">
        <v>4.5583135614962274</v>
      </c>
      <c r="N64" s="9">
        <v>2.411806117193771</v>
      </c>
      <c r="O64" s="9">
        <v>257.63374159405618</v>
      </c>
      <c r="P64" s="9">
        <v>0.59</v>
      </c>
      <c r="Q64" s="9">
        <v>105.6298340535631</v>
      </c>
      <c r="R64" s="9">
        <v>0.88478000000000001</v>
      </c>
      <c r="S64" s="9">
        <v>14.94275701245526</v>
      </c>
      <c r="T64" s="9">
        <v>12.366419596514699</v>
      </c>
      <c r="U64" s="9">
        <v>8.7595472141979123</v>
      </c>
      <c r="V64" s="9">
        <v>5.1526748318811251</v>
      </c>
      <c r="W64" s="5" t="s">
        <v>72</v>
      </c>
      <c r="X64" s="9">
        <v>257.63374159405618</v>
      </c>
      <c r="Y64" s="9">
        <v>105.6298340535631</v>
      </c>
      <c r="Z64" s="9">
        <v>0.88478000000000001</v>
      </c>
      <c r="AA64" s="9">
        <v>14.94275701245526</v>
      </c>
      <c r="AB64" s="9">
        <v>12.366419596514699</v>
      </c>
      <c r="AC64" s="9">
        <v>8.7595472141979123</v>
      </c>
      <c r="AD64" s="9">
        <v>5.1526748318811251</v>
      </c>
      <c r="AE64" s="9">
        <v>109.9250467424278</v>
      </c>
      <c r="AF64" s="9">
        <v>152.0039075404932</v>
      </c>
      <c r="AG64" s="9">
        <v>115.0504037173253</v>
      </c>
      <c r="AH64" s="9">
        <v>152.0039075404932</v>
      </c>
      <c r="AI64" s="9">
        <v>115.0504037173253</v>
      </c>
    </row>
    <row r="65" spans="1:35" ht="15" x14ac:dyDescent="0.4">
      <c r="A65" s="56">
        <v>46296</v>
      </c>
      <c r="B65" s="53">
        <v>2026</v>
      </c>
      <c r="C65" s="53">
        <v>10</v>
      </c>
      <c r="D65" s="5" t="s">
        <v>68</v>
      </c>
      <c r="E65" s="9">
        <v>699.49540782247482</v>
      </c>
      <c r="F65" s="9">
        <v>465.05962909658382</v>
      </c>
      <c r="G65" s="9">
        <v>234.435778725891</v>
      </c>
      <c r="H65" s="9">
        <v>188</v>
      </c>
      <c r="I65" s="9">
        <v>1.6619200000000001</v>
      </c>
      <c r="J65" s="9">
        <v>31.477293352011369</v>
      </c>
      <c r="K65" s="9">
        <v>12.59091734080455</v>
      </c>
      <c r="L65" s="9">
        <v>24.482339273786621</v>
      </c>
      <c r="M65" s="9">
        <v>8.3939448938696977</v>
      </c>
      <c r="N65" s="9">
        <v>6.9949540782247484</v>
      </c>
      <c r="O65" s="9">
        <v>707.69195797574332</v>
      </c>
      <c r="P65" s="9">
        <v>0.34499999999999997</v>
      </c>
      <c r="Q65" s="9">
        <v>463.53823247411191</v>
      </c>
      <c r="R65" s="9">
        <v>1.703468</v>
      </c>
      <c r="S65" s="9">
        <v>32.553830066884203</v>
      </c>
      <c r="T65" s="9">
        <v>13.446147201539119</v>
      </c>
      <c r="U65" s="9">
        <v>24.061526571175271</v>
      </c>
      <c r="V65" s="9">
        <v>9.1999954536846626</v>
      </c>
      <c r="W65" s="5" t="s">
        <v>72</v>
      </c>
      <c r="X65" s="9">
        <v>707.69195797574332</v>
      </c>
      <c r="Y65" s="9">
        <v>463.53823247411191</v>
      </c>
      <c r="Z65" s="9">
        <v>1.703468</v>
      </c>
      <c r="AA65" s="9">
        <v>32.553830066884203</v>
      </c>
      <c r="AB65" s="9">
        <v>13.446147201539119</v>
      </c>
      <c r="AC65" s="9">
        <v>24.061526571175271</v>
      </c>
      <c r="AD65" s="9">
        <v>9.1999954536846626</v>
      </c>
      <c r="AE65" s="9">
        <v>164.22330875928839</v>
      </c>
      <c r="AF65" s="9">
        <v>244.15372550163141</v>
      </c>
      <c r="AG65" s="9">
        <v>172.3887536620328</v>
      </c>
      <c r="AH65" s="9">
        <v>244.15372550163141</v>
      </c>
      <c r="AI65" s="9">
        <v>172.3887536620328</v>
      </c>
    </row>
    <row r="66" spans="1:35" ht="15" x14ac:dyDescent="0.4">
      <c r="A66" s="56">
        <v>46296</v>
      </c>
      <c r="B66" s="53">
        <v>2026</v>
      </c>
      <c r="C66" s="53">
        <v>10</v>
      </c>
      <c r="D66" s="5" t="s">
        <v>70</v>
      </c>
      <c r="E66" s="9">
        <v>397.40737002739058</v>
      </c>
      <c r="F66" s="9">
        <v>236.28203060754319</v>
      </c>
      <c r="G66" s="9">
        <v>161.12533941984739</v>
      </c>
      <c r="H66" s="9">
        <v>113</v>
      </c>
      <c r="I66" s="9">
        <v>0.99892000000000003</v>
      </c>
      <c r="J66" s="9">
        <v>11.12740636076694</v>
      </c>
      <c r="K66" s="9">
        <v>9.9351842506847667</v>
      </c>
      <c r="L66" s="9">
        <v>13.90925795095867</v>
      </c>
      <c r="M66" s="9">
        <v>4.7688884403286878</v>
      </c>
      <c r="N66" s="9">
        <v>3.9740737002739071</v>
      </c>
      <c r="O66" s="9">
        <v>404.09482778884512</v>
      </c>
      <c r="P66" s="9">
        <v>0.41499999999999998</v>
      </c>
      <c r="Q66" s="9">
        <v>236.39547425647439</v>
      </c>
      <c r="R66" s="9">
        <v>1.0238929999999999</v>
      </c>
      <c r="S66" s="9">
        <v>12.122844833665351</v>
      </c>
      <c r="T66" s="9">
        <v>9.6982758669322813</v>
      </c>
      <c r="U66" s="9">
        <v>13.73922414482073</v>
      </c>
      <c r="V66" s="9">
        <v>5.2532327612549858</v>
      </c>
      <c r="W66" s="5" t="s">
        <v>72</v>
      </c>
      <c r="X66" s="9">
        <v>404.09482778884512</v>
      </c>
      <c r="Y66" s="9">
        <v>236.39547425647439</v>
      </c>
      <c r="Z66" s="9">
        <v>1.0238929999999999</v>
      </c>
      <c r="AA66" s="9">
        <v>12.122844833665351</v>
      </c>
      <c r="AB66" s="9">
        <v>9.6982758669322813</v>
      </c>
      <c r="AC66" s="9">
        <v>13.73922414482073</v>
      </c>
      <c r="AD66" s="9">
        <v>5.2532327612549858</v>
      </c>
      <c r="AE66" s="9">
        <v>125.15457085743709</v>
      </c>
      <c r="AF66" s="9">
        <v>167.69935353237071</v>
      </c>
      <c r="AG66" s="9">
        <v>131.11511568695241</v>
      </c>
      <c r="AH66" s="9">
        <v>167.69935353237071</v>
      </c>
      <c r="AI66" s="9">
        <v>131.11511568695241</v>
      </c>
    </row>
    <row r="67" spans="1:35" ht="15" x14ac:dyDescent="0.4">
      <c r="A67" s="56">
        <v>46296</v>
      </c>
      <c r="B67" s="53">
        <v>2026</v>
      </c>
      <c r="C67" s="53">
        <v>10</v>
      </c>
      <c r="D67" s="5" t="s">
        <v>71</v>
      </c>
      <c r="E67" s="9">
        <v>255.0910916330198</v>
      </c>
      <c r="F67" s="9">
        <v>109.5824738764931</v>
      </c>
      <c r="G67" s="9">
        <v>145.5086177565268</v>
      </c>
      <c r="H67" s="9">
        <v>83</v>
      </c>
      <c r="I67" s="9">
        <v>0.86320000000000008</v>
      </c>
      <c r="J67" s="9">
        <v>15.30546549798119</v>
      </c>
      <c r="K67" s="9">
        <v>12.754554581650989</v>
      </c>
      <c r="L67" s="9">
        <v>8.9281882071556957</v>
      </c>
      <c r="M67" s="9">
        <v>4.5916396493943568</v>
      </c>
      <c r="N67" s="9">
        <v>2.429438967933522</v>
      </c>
      <c r="O67" s="9">
        <v>261.46534568358209</v>
      </c>
      <c r="P67" s="9">
        <v>0.59</v>
      </c>
      <c r="Q67" s="9">
        <v>107.2007917302687</v>
      </c>
      <c r="R67" s="9">
        <v>0.88478000000000001</v>
      </c>
      <c r="S67" s="9">
        <v>15.164990049647759</v>
      </c>
      <c r="T67" s="9">
        <v>12.55033659281194</v>
      </c>
      <c r="U67" s="9">
        <v>8.8898217532417938</v>
      </c>
      <c r="V67" s="9">
        <v>5.2293069136716426</v>
      </c>
      <c r="W67" s="5" t="s">
        <v>72</v>
      </c>
      <c r="X67" s="9">
        <v>261.46534568358209</v>
      </c>
      <c r="Y67" s="9">
        <v>107.2007917302687</v>
      </c>
      <c r="Z67" s="9">
        <v>0.88478000000000001</v>
      </c>
      <c r="AA67" s="9">
        <v>15.164990049647759</v>
      </c>
      <c r="AB67" s="9">
        <v>12.55033659281194</v>
      </c>
      <c r="AC67" s="9">
        <v>8.8898217532417938</v>
      </c>
      <c r="AD67" s="9">
        <v>5.2293069136716426</v>
      </c>
      <c r="AE67" s="9">
        <v>107.6572094697389</v>
      </c>
      <c r="AF67" s="9">
        <v>154.26455395331351</v>
      </c>
      <c r="AG67" s="9">
        <v>116.7746255576119</v>
      </c>
      <c r="AH67" s="9">
        <v>154.26455395331351</v>
      </c>
      <c r="AI67" s="9">
        <v>116.7746255576119</v>
      </c>
    </row>
    <row r="68" spans="1:35" ht="15" x14ac:dyDescent="0.4">
      <c r="A68" s="56">
        <v>46327</v>
      </c>
      <c r="B68" s="53">
        <v>2026</v>
      </c>
      <c r="C68" s="53">
        <v>11</v>
      </c>
      <c r="D68" s="5" t="s">
        <v>68</v>
      </c>
      <c r="E68" s="9">
        <v>710.9140837185854</v>
      </c>
      <c r="F68" s="9">
        <v>469.84785873423129</v>
      </c>
      <c r="G68" s="9">
        <v>241.06622498435411</v>
      </c>
      <c r="H68" s="9">
        <v>188</v>
      </c>
      <c r="I68" s="9">
        <v>1.6619200000000001</v>
      </c>
      <c r="J68" s="9">
        <v>31.99113376733634</v>
      </c>
      <c r="K68" s="9">
        <v>12.79645350693454</v>
      </c>
      <c r="L68" s="9">
        <v>24.881992930150489</v>
      </c>
      <c r="M68" s="9">
        <v>8.5309690046230244</v>
      </c>
      <c r="N68" s="9">
        <v>7.109140837185854</v>
      </c>
      <c r="O68" s="9">
        <v>742.00842648026116</v>
      </c>
      <c r="P68" s="9">
        <v>0.34499999999999997</v>
      </c>
      <c r="Q68" s="9">
        <v>486.01551934457109</v>
      </c>
      <c r="R68" s="9">
        <v>1.703468</v>
      </c>
      <c r="S68" s="9">
        <v>34.132387618092011</v>
      </c>
      <c r="T68" s="9">
        <v>14.098160103124959</v>
      </c>
      <c r="U68" s="9">
        <v>25.228286500328881</v>
      </c>
      <c r="V68" s="9">
        <v>9.6461095442433944</v>
      </c>
      <c r="W68" s="5" t="s">
        <v>72</v>
      </c>
      <c r="X68" s="9">
        <v>742.00842648026116</v>
      </c>
      <c r="Y68" s="9">
        <v>486.01551934457109</v>
      </c>
      <c r="Z68" s="9">
        <v>1.703468</v>
      </c>
      <c r="AA68" s="9">
        <v>34.132387618092011</v>
      </c>
      <c r="AB68" s="9">
        <v>14.098160103124959</v>
      </c>
      <c r="AC68" s="9">
        <v>25.228286500328881</v>
      </c>
      <c r="AD68" s="9">
        <v>9.6461095442433944</v>
      </c>
      <c r="AE68" s="9">
        <v>169.73472477993269</v>
      </c>
      <c r="AF68" s="9">
        <v>255.9929071356901</v>
      </c>
      <c r="AG68" s="9">
        <v>180.8306049141442</v>
      </c>
      <c r="AH68" s="9">
        <v>255.9929071356901</v>
      </c>
      <c r="AI68" s="9">
        <v>180.8306049141442</v>
      </c>
    </row>
    <row r="69" spans="1:35" ht="15" x14ac:dyDescent="0.4">
      <c r="A69" s="56">
        <v>46327</v>
      </c>
      <c r="B69" s="53">
        <v>2026</v>
      </c>
      <c r="C69" s="53">
        <v>11</v>
      </c>
      <c r="D69" s="5" t="s">
        <v>70</v>
      </c>
      <c r="E69" s="9">
        <v>403.42450381454148</v>
      </c>
      <c r="F69" s="9">
        <v>240.03622792622869</v>
      </c>
      <c r="G69" s="9">
        <v>163.38827588831279</v>
      </c>
      <c r="H69" s="9">
        <v>113</v>
      </c>
      <c r="I69" s="9">
        <v>0.99892000000000003</v>
      </c>
      <c r="J69" s="9">
        <v>11.29588610680716</v>
      </c>
      <c r="K69" s="9">
        <v>10.085612595363539</v>
      </c>
      <c r="L69" s="9">
        <v>14.119857633508961</v>
      </c>
      <c r="M69" s="9">
        <v>4.8410940457744989</v>
      </c>
      <c r="N69" s="9">
        <v>4.0342450381454151</v>
      </c>
      <c r="O69" s="9">
        <v>407.50074906871822</v>
      </c>
      <c r="P69" s="9">
        <v>0.41499999999999998</v>
      </c>
      <c r="Q69" s="9">
        <v>238.3879382052001</v>
      </c>
      <c r="R69" s="9">
        <v>1.0238929999999999</v>
      </c>
      <c r="S69" s="9">
        <v>12.225022472061539</v>
      </c>
      <c r="T69" s="9">
        <v>9.7800179776492353</v>
      </c>
      <c r="U69" s="9">
        <v>13.85502546833642</v>
      </c>
      <c r="V69" s="9">
        <v>5.2975097378933356</v>
      </c>
      <c r="W69" s="5" t="s">
        <v>72</v>
      </c>
      <c r="X69" s="9">
        <v>407.50074906871822</v>
      </c>
      <c r="Y69" s="9">
        <v>238.3879382052001</v>
      </c>
      <c r="Z69" s="9">
        <v>1.0238929999999999</v>
      </c>
      <c r="AA69" s="9">
        <v>12.225022472061539</v>
      </c>
      <c r="AB69" s="9">
        <v>9.7800179776492353</v>
      </c>
      <c r="AC69" s="9">
        <v>13.85502546833642</v>
      </c>
      <c r="AD69" s="9">
        <v>5.2975097378933356</v>
      </c>
      <c r="AE69" s="9">
        <v>126.8879995526331</v>
      </c>
      <c r="AF69" s="9">
        <v>169.11281086351809</v>
      </c>
      <c r="AG69" s="9">
        <v>132.22885194547089</v>
      </c>
      <c r="AH69" s="9">
        <v>169.11281086351809</v>
      </c>
      <c r="AI69" s="9">
        <v>132.22885194547089</v>
      </c>
    </row>
    <row r="70" spans="1:35" ht="15" x14ac:dyDescent="0.4">
      <c r="A70" s="56">
        <v>46327</v>
      </c>
      <c r="B70" s="53">
        <v>2026</v>
      </c>
      <c r="C70" s="53">
        <v>11</v>
      </c>
      <c r="D70" s="5" t="s">
        <v>71</v>
      </c>
      <c r="E70" s="9">
        <v>269.23609687540431</v>
      </c>
      <c r="F70" s="9">
        <v>111.50860936391069</v>
      </c>
      <c r="G70" s="9">
        <v>157.72748751149359</v>
      </c>
      <c r="H70" s="9">
        <v>83</v>
      </c>
      <c r="I70" s="9">
        <v>0.86320000000000008</v>
      </c>
      <c r="J70" s="9">
        <v>16.154165812524251</v>
      </c>
      <c r="K70" s="9">
        <v>13.46180484377021</v>
      </c>
      <c r="L70" s="9">
        <v>9.4232633906391499</v>
      </c>
      <c r="M70" s="9">
        <v>4.8462497437572756</v>
      </c>
      <c r="N70" s="9">
        <v>2.5641533035752788</v>
      </c>
      <c r="O70" s="9">
        <v>277.43688633428019</v>
      </c>
      <c r="P70" s="9">
        <v>0.59</v>
      </c>
      <c r="Q70" s="9">
        <v>113.7491233970549</v>
      </c>
      <c r="R70" s="9">
        <v>0.88478000000000001</v>
      </c>
      <c r="S70" s="9">
        <v>16.091339407388251</v>
      </c>
      <c r="T70" s="9">
        <v>13.31697054404545</v>
      </c>
      <c r="U70" s="9">
        <v>9.4328541353655275</v>
      </c>
      <c r="V70" s="9">
        <v>5.5487377266856042</v>
      </c>
      <c r="W70" s="5" t="s">
        <v>72</v>
      </c>
      <c r="X70" s="9">
        <v>277.43688633428019</v>
      </c>
      <c r="Y70" s="9">
        <v>113.7491233970549</v>
      </c>
      <c r="Z70" s="9">
        <v>0.88478000000000001</v>
      </c>
      <c r="AA70" s="9">
        <v>16.091339407388251</v>
      </c>
      <c r="AB70" s="9">
        <v>13.31697054404545</v>
      </c>
      <c r="AC70" s="9">
        <v>9.4328541353655275</v>
      </c>
      <c r="AD70" s="9">
        <v>5.5487377266856042</v>
      </c>
      <c r="AE70" s="9">
        <v>117.82505346456</v>
      </c>
      <c r="AF70" s="9">
        <v>163.6877629372253</v>
      </c>
      <c r="AG70" s="9">
        <v>123.961818850426</v>
      </c>
      <c r="AH70" s="9">
        <v>163.6877629372253</v>
      </c>
      <c r="AI70" s="9">
        <v>123.961818850426</v>
      </c>
    </row>
    <row r="71" spans="1:35" ht="15" x14ac:dyDescent="0.4">
      <c r="A71" s="56">
        <v>46357</v>
      </c>
      <c r="B71" s="53">
        <v>2026</v>
      </c>
      <c r="C71" s="53">
        <v>12</v>
      </c>
      <c r="D71" s="5" t="s">
        <v>68</v>
      </c>
      <c r="E71" s="9">
        <v>787.21606694974491</v>
      </c>
      <c r="F71" s="9">
        <v>510.20373963833072</v>
      </c>
      <c r="G71" s="9">
        <v>277.01232731141431</v>
      </c>
      <c r="H71" s="9">
        <v>188</v>
      </c>
      <c r="I71" s="9">
        <v>1.6619200000000001</v>
      </c>
      <c r="J71" s="9">
        <v>35.424723012738518</v>
      </c>
      <c r="K71" s="9">
        <v>14.16988920509541</v>
      </c>
      <c r="L71" s="9">
        <v>27.552562343241071</v>
      </c>
      <c r="M71" s="9">
        <v>9.4465928033969391</v>
      </c>
      <c r="N71" s="9">
        <v>7.8721606694974504</v>
      </c>
      <c r="O71" s="9">
        <v>805.11535960254514</v>
      </c>
      <c r="P71" s="9">
        <v>0.34499999999999997</v>
      </c>
      <c r="Q71" s="9">
        <v>527.35056053966707</v>
      </c>
      <c r="R71" s="9">
        <v>1.703468</v>
      </c>
      <c r="S71" s="9">
        <v>37.035306541717077</v>
      </c>
      <c r="T71" s="9">
        <v>15.297191832448361</v>
      </c>
      <c r="U71" s="9">
        <v>27.373922226486538</v>
      </c>
      <c r="V71" s="9">
        <v>10.46649967483309</v>
      </c>
      <c r="W71" s="5" t="s">
        <v>72</v>
      </c>
      <c r="X71" s="9">
        <v>805.11535960254514</v>
      </c>
      <c r="Y71" s="9">
        <v>527.35056053966707</v>
      </c>
      <c r="Z71" s="9">
        <v>1.703468</v>
      </c>
      <c r="AA71" s="9">
        <v>37.035306541717077</v>
      </c>
      <c r="AB71" s="9">
        <v>15.297191832448361</v>
      </c>
      <c r="AC71" s="9">
        <v>27.373922226486538</v>
      </c>
      <c r="AD71" s="9">
        <v>10.46649967483309</v>
      </c>
      <c r="AE71" s="9">
        <v>198.2032327503392</v>
      </c>
      <c r="AF71" s="9">
        <v>277.76479906287813</v>
      </c>
      <c r="AG71" s="9">
        <v>196.35491046222609</v>
      </c>
      <c r="AH71" s="9">
        <v>277.76479906287813</v>
      </c>
      <c r="AI71" s="9">
        <v>196.35491046222609</v>
      </c>
    </row>
    <row r="72" spans="1:35" ht="15" x14ac:dyDescent="0.4">
      <c r="A72" s="56">
        <v>46357</v>
      </c>
      <c r="B72" s="53">
        <v>2026</v>
      </c>
      <c r="C72" s="53">
        <v>12</v>
      </c>
      <c r="D72" s="5" t="s">
        <v>70</v>
      </c>
      <c r="E72" s="9">
        <v>453.38987061899769</v>
      </c>
      <c r="F72" s="9">
        <v>269.70736474146071</v>
      </c>
      <c r="G72" s="9">
        <v>183.6825058775371</v>
      </c>
      <c r="H72" s="9">
        <v>113</v>
      </c>
      <c r="I72" s="9">
        <v>0.99892000000000003</v>
      </c>
      <c r="J72" s="9">
        <v>12.694916377331939</v>
      </c>
      <c r="K72" s="9">
        <v>11.334746765474939</v>
      </c>
      <c r="L72" s="9">
        <v>15.868645471664919</v>
      </c>
      <c r="M72" s="9">
        <v>5.440678447427973</v>
      </c>
      <c r="N72" s="9">
        <v>4.5338987061899774</v>
      </c>
      <c r="O72" s="9">
        <v>464.76311180969623</v>
      </c>
      <c r="P72" s="9">
        <v>0.41499999999999998</v>
      </c>
      <c r="Q72" s="9">
        <v>271.88642040867228</v>
      </c>
      <c r="R72" s="9">
        <v>1.0238929999999999</v>
      </c>
      <c r="S72" s="9">
        <v>13.94289335429089</v>
      </c>
      <c r="T72" s="9">
        <v>11.154314683432711</v>
      </c>
      <c r="U72" s="9">
        <v>15.801945801529669</v>
      </c>
      <c r="V72" s="9">
        <v>6.0419204535260507</v>
      </c>
      <c r="W72" s="5" t="s">
        <v>72</v>
      </c>
      <c r="X72" s="9">
        <v>464.76311180969623</v>
      </c>
      <c r="Y72" s="9">
        <v>271.88642040867228</v>
      </c>
      <c r="Z72" s="9">
        <v>1.0238929999999999</v>
      </c>
      <c r="AA72" s="9">
        <v>13.94289335429089</v>
      </c>
      <c r="AB72" s="9">
        <v>11.154314683432711</v>
      </c>
      <c r="AC72" s="9">
        <v>15.801945801529669</v>
      </c>
      <c r="AD72" s="9">
        <v>6.0419204535260507</v>
      </c>
      <c r="AE72" s="9">
        <v>142.7852772630653</v>
      </c>
      <c r="AF72" s="9">
        <v>192.87669140102389</v>
      </c>
      <c r="AG72" s="9">
        <v>150.95364456177069</v>
      </c>
      <c r="AH72" s="9">
        <v>192.87669140102389</v>
      </c>
      <c r="AI72" s="9">
        <v>150.95364456177069</v>
      </c>
    </row>
    <row r="73" spans="1:35" ht="15" x14ac:dyDescent="0.4">
      <c r="A73" s="56">
        <v>46357</v>
      </c>
      <c r="B73" s="53">
        <v>2026</v>
      </c>
      <c r="C73" s="53">
        <v>12</v>
      </c>
      <c r="D73" s="5" t="s">
        <v>71</v>
      </c>
      <c r="E73" s="9">
        <v>270.96780466935172</v>
      </c>
      <c r="F73" s="9">
        <v>113.30159129796429</v>
      </c>
      <c r="G73" s="9">
        <v>157.66621337138741</v>
      </c>
      <c r="H73" s="9">
        <v>83</v>
      </c>
      <c r="I73" s="9">
        <v>0.86320000000000008</v>
      </c>
      <c r="J73" s="9">
        <v>16.258068280161101</v>
      </c>
      <c r="K73" s="9">
        <v>13.548390233467581</v>
      </c>
      <c r="L73" s="9">
        <v>9.4838731634273099</v>
      </c>
      <c r="M73" s="9">
        <v>4.8774204840483293</v>
      </c>
      <c r="N73" s="9">
        <v>2.5806457587557299</v>
      </c>
      <c r="O73" s="9">
        <v>283.17256510749922</v>
      </c>
      <c r="P73" s="9">
        <v>0.59</v>
      </c>
      <c r="Q73" s="9">
        <v>116.1007516940747</v>
      </c>
      <c r="R73" s="9">
        <v>0.88478000000000001</v>
      </c>
      <c r="S73" s="9">
        <v>16.42400877623496</v>
      </c>
      <c r="T73" s="9">
        <v>13.592283125159961</v>
      </c>
      <c r="U73" s="9">
        <v>9.6278672136549748</v>
      </c>
      <c r="V73" s="9">
        <v>5.6634513021499844</v>
      </c>
      <c r="W73" s="5" t="s">
        <v>72</v>
      </c>
      <c r="X73" s="9">
        <v>283.17256510749922</v>
      </c>
      <c r="Y73" s="9">
        <v>116.1007516940747</v>
      </c>
      <c r="Z73" s="9">
        <v>0.88478000000000001</v>
      </c>
      <c r="AA73" s="9">
        <v>16.42400877623496</v>
      </c>
      <c r="AB73" s="9">
        <v>13.592283125159961</v>
      </c>
      <c r="AC73" s="9">
        <v>9.6278672136549748</v>
      </c>
      <c r="AD73" s="9">
        <v>5.6634513021499844</v>
      </c>
      <c r="AE73" s="9">
        <v>117.51268169433141</v>
      </c>
      <c r="AF73" s="9">
        <v>167.07181341342451</v>
      </c>
      <c r="AG73" s="9">
        <v>126.5428742983746</v>
      </c>
      <c r="AH73" s="9">
        <v>167.07181341342451</v>
      </c>
      <c r="AI73" s="9">
        <v>126.5428742983746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9"/>
  <sheetViews>
    <sheetView topLeftCell="A8" workbookViewId="0"/>
  </sheetViews>
  <sheetFormatPr defaultRowHeight="14.5" x14ac:dyDescent="0.35"/>
  <cols>
    <col min="1" max="1" width="4" customWidth="1"/>
    <col min="2" max="2" width="68" customWidth="1"/>
    <col min="3" max="3" width="16" customWidth="1"/>
    <col min="4" max="4" width="74" customWidth="1"/>
    <col min="5" max="5" width="14" customWidth="1"/>
    <col min="6" max="6" width="16" customWidth="1"/>
    <col min="7" max="7" width="12" customWidth="1"/>
    <col min="8" max="8" width="57" customWidth="1"/>
    <col min="9" max="9" width="19" customWidth="1"/>
  </cols>
  <sheetData>
    <row r="2" spans="2:9" ht="22.5" x14ac:dyDescent="0.6">
      <c r="B2" s="10" t="s">
        <v>73</v>
      </c>
      <c r="I2" s="11" t="s">
        <v>74</v>
      </c>
    </row>
    <row r="3" spans="2:9" x14ac:dyDescent="0.35">
      <c r="B3" s="12" t="s">
        <v>75</v>
      </c>
      <c r="I3" s="13" t="str">
        <f>IF(Checks!$C$13="ALL CHECKS PASS", "🟢 ALL CHECKS PASS", "🔴 AUDIT WARNING")</f>
        <v>🟢 ALL CHECKS PASS</v>
      </c>
    </row>
    <row r="5" spans="2:9" ht="16.5" x14ac:dyDescent="0.45">
      <c r="B5" s="3" t="s">
        <v>76</v>
      </c>
    </row>
    <row r="6" spans="2:9" ht="16.5" x14ac:dyDescent="0.45">
      <c r="B6" s="14" t="s">
        <v>77</v>
      </c>
      <c r="E6" s="15">
        <v>2</v>
      </c>
      <c r="F6" s="3" t="str">
        <f>CHOOSE(E6, "DOWNSIDE CASE", "BASE BUDGET", "UPSIDE CASE")</f>
        <v>BASE BUDGET</v>
      </c>
    </row>
    <row r="8" spans="2:9" ht="15" x14ac:dyDescent="0.4">
      <c r="B8" s="8" t="s">
        <v>78</v>
      </c>
      <c r="C8" s="8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</row>
    <row r="9" spans="2:9" ht="15" x14ac:dyDescent="0.4">
      <c r="B9" s="4" t="s">
        <v>85</v>
      </c>
      <c r="C9" s="16">
        <v>0.32500000000000001</v>
      </c>
      <c r="D9" s="16">
        <v>0.34499999999999997</v>
      </c>
      <c r="E9" s="16">
        <v>0.36499999999999999</v>
      </c>
      <c r="F9" s="17">
        <f t="shared" ref="F9:F16" si="0">INDEX(C9:E9, 1, $E$6)</f>
        <v>0.34499999999999997</v>
      </c>
      <c r="G9" s="18" t="s">
        <v>86</v>
      </c>
      <c r="H9" s="19" t="s">
        <v>87</v>
      </c>
    </row>
    <row r="10" spans="2:9" ht="15" x14ac:dyDescent="0.4">
      <c r="B10" s="4" t="s">
        <v>88</v>
      </c>
      <c r="C10" s="16">
        <v>0.39500000000000002</v>
      </c>
      <c r="D10" s="16">
        <v>0.41499999999999998</v>
      </c>
      <c r="E10" s="16">
        <v>0.435</v>
      </c>
      <c r="F10" s="17">
        <f t="shared" si="0"/>
        <v>0.41499999999999998</v>
      </c>
      <c r="G10" s="18" t="s">
        <v>86</v>
      </c>
      <c r="H10" s="19" t="s">
        <v>89</v>
      </c>
    </row>
    <row r="11" spans="2:9" ht="15" x14ac:dyDescent="0.4">
      <c r="B11" s="4" t="s">
        <v>90</v>
      </c>
      <c r="C11" s="16">
        <v>0.56000000000000005</v>
      </c>
      <c r="D11" s="16">
        <v>0.59</v>
      </c>
      <c r="E11" s="16">
        <v>0.62</v>
      </c>
      <c r="F11" s="17">
        <f t="shared" si="0"/>
        <v>0.59</v>
      </c>
      <c r="G11" s="18" t="s">
        <v>86</v>
      </c>
      <c r="H11" s="19" t="s">
        <v>91</v>
      </c>
    </row>
    <row r="12" spans="2:9" ht="15" x14ac:dyDescent="0.4">
      <c r="B12" s="4" t="s">
        <v>92</v>
      </c>
      <c r="C12" s="16">
        <v>0.06</v>
      </c>
      <c r="D12" s="16">
        <v>0.04</v>
      </c>
      <c r="E12" s="16">
        <v>2.5000000000000001E-2</v>
      </c>
      <c r="F12" s="17">
        <f t="shared" si="0"/>
        <v>0.04</v>
      </c>
      <c r="G12" s="18" t="s">
        <v>86</v>
      </c>
      <c r="H12" s="19" t="s">
        <v>93</v>
      </c>
    </row>
    <row r="13" spans="2:9" ht="15" x14ac:dyDescent="0.4">
      <c r="B13" s="4" t="s">
        <v>94</v>
      </c>
      <c r="C13" s="16">
        <v>0.04</v>
      </c>
      <c r="D13" s="16">
        <v>2.5000000000000001E-2</v>
      </c>
      <c r="E13" s="16">
        <v>0.02</v>
      </c>
      <c r="F13" s="17">
        <f t="shared" si="0"/>
        <v>2.5000000000000001E-2</v>
      </c>
      <c r="G13" s="18" t="s">
        <v>86</v>
      </c>
      <c r="H13" s="19" t="s">
        <v>95</v>
      </c>
    </row>
    <row r="14" spans="2:9" ht="15" x14ac:dyDescent="0.4">
      <c r="B14" s="4" t="s">
        <v>96</v>
      </c>
      <c r="C14" s="16">
        <v>0.05</v>
      </c>
      <c r="D14" s="16">
        <v>4.5999999999999999E-2</v>
      </c>
      <c r="E14" s="16">
        <v>4.2999999999999997E-2</v>
      </c>
      <c r="F14" s="17">
        <f t="shared" si="0"/>
        <v>4.5999999999999999E-2</v>
      </c>
      <c r="G14" s="18" t="s">
        <v>86</v>
      </c>
      <c r="H14" s="19" t="s">
        <v>97</v>
      </c>
    </row>
    <row r="15" spans="2:9" ht="15" x14ac:dyDescent="0.4">
      <c r="B15" s="4" t="s">
        <v>98</v>
      </c>
      <c r="C15" s="16">
        <v>2.5000000000000001E-2</v>
      </c>
      <c r="D15" s="16">
        <v>2.1999999999999999E-2</v>
      </c>
      <c r="E15" s="16">
        <v>0.02</v>
      </c>
      <c r="F15" s="17">
        <f t="shared" si="0"/>
        <v>2.1999999999999999E-2</v>
      </c>
      <c r="G15" s="18" t="s">
        <v>86</v>
      </c>
      <c r="H15" s="19" t="s">
        <v>99</v>
      </c>
    </row>
    <row r="16" spans="2:9" ht="15" x14ac:dyDescent="0.4">
      <c r="B16" s="4" t="s">
        <v>100</v>
      </c>
      <c r="C16" s="16">
        <v>1.4999999999999999E-2</v>
      </c>
      <c r="D16" s="16">
        <v>1.2999999999999999E-2</v>
      </c>
      <c r="E16" s="16">
        <v>0.01</v>
      </c>
      <c r="F16" s="17">
        <f t="shared" si="0"/>
        <v>1.2999999999999999E-2</v>
      </c>
      <c r="G16" s="18" t="s">
        <v>86</v>
      </c>
      <c r="H16" s="19" t="s">
        <v>101</v>
      </c>
    </row>
    <row r="19" spans="2:4" ht="15" x14ac:dyDescent="0.4">
      <c r="B19" s="14" t="s">
        <v>102</v>
      </c>
      <c r="C19" s="20" t="s">
        <v>103</v>
      </c>
      <c r="D19" s="21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30"/>
  <sheetViews>
    <sheetView workbookViewId="0"/>
  </sheetViews>
  <sheetFormatPr defaultRowHeight="14.5" x14ac:dyDescent="0.35"/>
  <cols>
    <col min="1" max="1" width="4" customWidth="1"/>
    <col min="2" max="2" width="95" customWidth="1"/>
    <col min="3" max="8" width="16" customWidth="1"/>
    <col min="9" max="9" width="19" customWidth="1"/>
    <col min="10" max="12" width="16" customWidth="1"/>
    <col min="13" max="13" width="17" customWidth="1"/>
  </cols>
  <sheetData>
    <row r="2" spans="2:13" ht="22.5" x14ac:dyDescent="0.6">
      <c r="B2" s="10" t="s">
        <v>105</v>
      </c>
      <c r="I2" s="11" t="s">
        <v>74</v>
      </c>
    </row>
    <row r="3" spans="2:13" x14ac:dyDescent="0.35">
      <c r="B3" s="12" t="s">
        <v>106</v>
      </c>
      <c r="I3" s="13" t="str">
        <f>IF(Checks!$C$13="ALL CHECKS PASS", "🟢 ALL CHECKS PASS", "🔴 AUDIT WARNING")</f>
        <v>🟢 ALL CHECKS PASS</v>
      </c>
    </row>
    <row r="5" spans="2:13" ht="15" x14ac:dyDescent="0.4">
      <c r="B5" s="8" t="s">
        <v>33</v>
      </c>
      <c r="C5" s="8" t="s">
        <v>55</v>
      </c>
      <c r="D5" s="8" t="s">
        <v>107</v>
      </c>
      <c r="E5" s="8" t="s">
        <v>108</v>
      </c>
      <c r="F5" s="8" t="s">
        <v>109</v>
      </c>
      <c r="G5" s="8" t="s">
        <v>110</v>
      </c>
      <c r="H5" s="8" t="s">
        <v>111</v>
      </c>
      <c r="I5" s="8" t="s">
        <v>112</v>
      </c>
      <c r="J5" s="8" t="s">
        <v>113</v>
      </c>
      <c r="K5" s="8" t="s">
        <v>114</v>
      </c>
      <c r="L5" s="8" t="s">
        <v>115</v>
      </c>
      <c r="M5" s="8" t="s">
        <v>116</v>
      </c>
    </row>
    <row r="6" spans="2:13" ht="15" x14ac:dyDescent="0.4">
      <c r="B6" s="22">
        <v>45658</v>
      </c>
      <c r="C6" s="23" t="str">
        <f>IF(B6&lt;=Assumptions!$C$19, "Actual", "Forecast")</f>
        <v>Actual</v>
      </c>
      <c r="D6" s="24">
        <f>SUMIFS(Data_Raw!$E$2:$E$73, Data_Raw!$A$2:$A$73, B6)</f>
        <v>941.56209283515409</v>
      </c>
      <c r="E6" s="24">
        <f>SUMIFS(Data_Raw!$O$2:$O$73, Data_Raw!$A$2:$A$73, B6)</f>
        <v>944.54780182288675</v>
      </c>
      <c r="F6" s="24">
        <f t="shared" ref="F6:F30" si="0">D6-E6</f>
        <v>-2.9857089877326644</v>
      </c>
      <c r="G6" s="25">
        <f t="shared" ref="G6:G29" si="1">IF(E6=0, 0, F6/E6)</f>
        <v>-3.1609929978880179E-3</v>
      </c>
      <c r="H6" s="24">
        <f>SUMIFS(Data_Raw!$AE$2:$AE$73, Data_Raw!$A$2:$A$73, B6)</f>
        <v>276.55660813588355</v>
      </c>
      <c r="I6" s="24">
        <f>SUMIFS(Data_Raw!$AG$2:$AG$73, Data_Raw!$A$2:$A$73, B6)</f>
        <v>285.58040314781772</v>
      </c>
      <c r="J6" s="24">
        <f t="shared" ref="J6:J30" si="2">H6-I6</f>
        <v>-9.023795011934169</v>
      </c>
      <c r="K6" s="25">
        <f t="shared" ref="K6:K29" si="3">IF(I6=0, 0, J6/ABS(I6))</f>
        <v>-3.1598089058174669E-2</v>
      </c>
      <c r="L6" s="25">
        <f t="shared" ref="L6:L29" si="4">IF(D6=0, 0, H6/D6)</f>
        <v>0.29372105168671259</v>
      </c>
      <c r="M6" s="23" t="str">
        <f t="shared" ref="M6:M29" si="5">IF(K6&lt;-0.05, "⚠️ REVIEW", IF(K6&gt;0.05, "⭐ FAVORABLE", "ON TRACK"))</f>
        <v>ON TRACK</v>
      </c>
    </row>
    <row r="7" spans="2:13" ht="15" x14ac:dyDescent="0.4">
      <c r="B7" s="26">
        <v>45689</v>
      </c>
      <c r="C7" s="18" t="str">
        <f>IF(B7&lt;=Assumptions!$C$19, "Actual", "Forecast")</f>
        <v>Actual</v>
      </c>
      <c r="D7" s="27">
        <f>SUMIFS(Data_Raw!$E$2:$E$73, Data_Raw!$A$2:$A$73, B7)</f>
        <v>926.26034269996921</v>
      </c>
      <c r="E7" s="27">
        <f>SUMIFS(Data_Raw!$O$2:$O$73, Data_Raw!$A$2:$A$73, B7)</f>
        <v>944.71592444161251</v>
      </c>
      <c r="F7" s="27">
        <f t="shared" si="0"/>
        <v>-18.4555817416433</v>
      </c>
      <c r="G7" s="28">
        <f t="shared" si="1"/>
        <v>-1.9535588703611328E-2</v>
      </c>
      <c r="H7" s="27">
        <f>SUMIFS(Data_Raw!$AE$2:$AE$73, Data_Raw!$A$2:$A$73, B7)</f>
        <v>274.92601103676805</v>
      </c>
      <c r="I7" s="27">
        <f>SUMIFS(Data_Raw!$AG$2:$AG$73, Data_Raw!$A$2:$A$73, B7)</f>
        <v>287.49131401973551</v>
      </c>
      <c r="J7" s="27">
        <f t="shared" si="2"/>
        <v>-12.565302982967467</v>
      </c>
      <c r="K7" s="28">
        <f t="shared" si="3"/>
        <v>-4.3706722151977406E-2</v>
      </c>
      <c r="L7" s="28">
        <f t="shared" si="4"/>
        <v>0.29681289197309513</v>
      </c>
      <c r="M7" s="18" t="str">
        <f t="shared" si="5"/>
        <v>ON TRACK</v>
      </c>
    </row>
    <row r="8" spans="2:13" ht="15" x14ac:dyDescent="0.4">
      <c r="B8" s="22">
        <v>45717</v>
      </c>
      <c r="C8" s="23" t="str">
        <f>IF(B8&lt;=Assumptions!$C$19, "Actual", "Forecast")</f>
        <v>Actual</v>
      </c>
      <c r="D8" s="24">
        <f>SUMIFS(Data_Raw!$E$2:$E$73, Data_Raw!$A$2:$A$73, B8)</f>
        <v>985.90361571028632</v>
      </c>
      <c r="E8" s="24">
        <f>SUMIFS(Data_Raw!$O$2:$O$73, Data_Raw!$A$2:$A$73, B8)</f>
        <v>988.32343219247105</v>
      </c>
      <c r="F8" s="24">
        <f t="shared" si="0"/>
        <v>-2.4198164821847286</v>
      </c>
      <c r="G8" s="25">
        <f t="shared" si="1"/>
        <v>-2.4484054544944567E-3</v>
      </c>
      <c r="H8" s="24">
        <f>SUMIFS(Data_Raw!$AE$2:$AE$73, Data_Raw!$A$2:$A$73, B8)</f>
        <v>293.47212624580567</v>
      </c>
      <c r="I8" s="24">
        <f>SUMIFS(Data_Raw!$AG$2:$AG$73, Data_Raw!$A$2:$A$73, B8)</f>
        <v>299.66354980701976</v>
      </c>
      <c r="J8" s="24">
        <f t="shared" si="2"/>
        <v>-6.1914235612140942</v>
      </c>
      <c r="K8" s="25">
        <f t="shared" si="3"/>
        <v>-2.0661250142706068E-2</v>
      </c>
      <c r="L8" s="25">
        <f t="shared" si="4"/>
        <v>0.29766817117754057</v>
      </c>
      <c r="M8" s="23" t="str">
        <f t="shared" si="5"/>
        <v>ON TRACK</v>
      </c>
    </row>
    <row r="9" spans="2:13" ht="15" x14ac:dyDescent="0.4">
      <c r="B9" s="26">
        <v>45748</v>
      </c>
      <c r="C9" s="18" t="str">
        <f>IF(B9&lt;=Assumptions!$C$19, "Actual", "Forecast")</f>
        <v>Actual</v>
      </c>
      <c r="D9" s="27">
        <f>SUMIFS(Data_Raw!$E$2:$E$73, Data_Raw!$A$2:$A$73, B9)</f>
        <v>1015.1286082855526</v>
      </c>
      <c r="E9" s="27">
        <f>SUMIFS(Data_Raw!$O$2:$O$73, Data_Raw!$A$2:$A$73, B9)</f>
        <v>1031.3174264214144</v>
      </c>
      <c r="F9" s="27">
        <f t="shared" si="0"/>
        <v>-16.188818135861879</v>
      </c>
      <c r="G9" s="28">
        <f t="shared" si="1"/>
        <v>-1.5697221554798826E-2</v>
      </c>
      <c r="H9" s="27">
        <f>SUMIFS(Data_Raw!$AE$2:$AE$73, Data_Raw!$A$2:$A$73, B9)</f>
        <v>300.84796228334545</v>
      </c>
      <c r="I9" s="27">
        <f>SUMIFS(Data_Raw!$AG$2:$AG$73, Data_Raw!$A$2:$A$73, B9)</f>
        <v>314.58374891398694</v>
      </c>
      <c r="J9" s="27">
        <f t="shared" si="2"/>
        <v>-13.735786630641485</v>
      </c>
      <c r="K9" s="28">
        <f t="shared" si="3"/>
        <v>-4.3663370018510096E-2</v>
      </c>
      <c r="L9" s="28">
        <f t="shared" si="4"/>
        <v>0.29636438164366841</v>
      </c>
      <c r="M9" s="18" t="str">
        <f t="shared" si="5"/>
        <v>ON TRACK</v>
      </c>
    </row>
    <row r="10" spans="2:13" ht="15" x14ac:dyDescent="0.4">
      <c r="B10" s="22">
        <v>45778</v>
      </c>
      <c r="C10" s="23" t="str">
        <f>IF(B10&lt;=Assumptions!$C$19, "Actual", "Forecast")</f>
        <v>Actual</v>
      </c>
      <c r="D10" s="24">
        <f>SUMIFS(Data_Raw!$E$2:$E$73, Data_Raw!$A$2:$A$73, B10)</f>
        <v>1009.6839986828955</v>
      </c>
      <c r="E10" s="24">
        <f>SUMIFS(Data_Raw!$O$2:$O$73, Data_Raw!$A$2:$A$73, B10)</f>
        <v>1029.8250993878428</v>
      </c>
      <c r="F10" s="24">
        <f t="shared" si="0"/>
        <v>-20.141100704947235</v>
      </c>
      <c r="G10" s="25">
        <f t="shared" si="1"/>
        <v>-1.9557787741743403E-2</v>
      </c>
      <c r="H10" s="24">
        <f>SUMIFS(Data_Raw!$AE$2:$AE$73, Data_Raw!$A$2:$A$73, B10)</f>
        <v>301.50350406968016</v>
      </c>
      <c r="I10" s="24">
        <f>SUMIFS(Data_Raw!$AG$2:$AG$73, Data_Raw!$A$2:$A$73, B10)</f>
        <v>313.44112815679472</v>
      </c>
      <c r="J10" s="24">
        <f t="shared" si="2"/>
        <v>-11.937624087114557</v>
      </c>
      <c r="K10" s="25">
        <f t="shared" si="3"/>
        <v>-3.8085697806520533E-2</v>
      </c>
      <c r="L10" s="25">
        <f t="shared" si="4"/>
        <v>0.2986117482925183</v>
      </c>
      <c r="M10" s="23" t="str">
        <f t="shared" si="5"/>
        <v>ON TRACK</v>
      </c>
    </row>
    <row r="11" spans="2:13" ht="15" x14ac:dyDescent="0.4">
      <c r="B11" s="26">
        <v>45809</v>
      </c>
      <c r="C11" s="18" t="str">
        <f>IF(B11&lt;=Assumptions!$C$19, "Actual", "Forecast")</f>
        <v>Actual</v>
      </c>
      <c r="D11" s="27">
        <f>SUMIFS(Data_Raw!$E$2:$E$73, Data_Raw!$A$2:$A$73, B11)</f>
        <v>1056.5478794114704</v>
      </c>
      <c r="E11" s="27">
        <f>SUMIFS(Data_Raw!$O$2:$O$73, Data_Raw!$A$2:$A$73, B11)</f>
        <v>1052.6231319346252</v>
      </c>
      <c r="F11" s="27">
        <f t="shared" si="0"/>
        <v>3.9247474768451411</v>
      </c>
      <c r="G11" s="28">
        <f t="shared" si="1"/>
        <v>3.7285400232767198E-3</v>
      </c>
      <c r="H11" s="27">
        <f>SUMIFS(Data_Raw!$AE$2:$AE$73, Data_Raw!$A$2:$A$73, B11)</f>
        <v>312.51269283776776</v>
      </c>
      <c r="I11" s="27">
        <f>SUMIFS(Data_Raw!$AG$2:$AG$73, Data_Raw!$A$2:$A$73, B11)</f>
        <v>318.77668119668613</v>
      </c>
      <c r="J11" s="27">
        <f t="shared" si="2"/>
        <v>-6.2639883589183682</v>
      </c>
      <c r="K11" s="28">
        <f t="shared" si="3"/>
        <v>-1.9650083360562592E-2</v>
      </c>
      <c r="L11" s="28">
        <f t="shared" si="4"/>
        <v>0.29578658849975348</v>
      </c>
      <c r="M11" s="18" t="str">
        <f t="shared" si="5"/>
        <v>ON TRACK</v>
      </c>
    </row>
    <row r="12" spans="2:13" ht="15" x14ac:dyDescent="0.4">
      <c r="B12" s="22">
        <v>45839</v>
      </c>
      <c r="C12" s="23" t="str">
        <f>IF(B12&lt;=Assumptions!$C$19, "Actual", "Forecast")</f>
        <v>Actual</v>
      </c>
      <c r="D12" s="24">
        <f>SUMIFS(Data_Raw!$E$2:$E$73, Data_Raw!$A$2:$A$73, B12)</f>
        <v>975.76612334915353</v>
      </c>
      <c r="E12" s="24">
        <f>SUMIFS(Data_Raw!$O$2:$O$73, Data_Raw!$A$2:$A$73, B12)</f>
        <v>1008.3256835267089</v>
      </c>
      <c r="F12" s="24">
        <f t="shared" si="0"/>
        <v>-32.55956017755534</v>
      </c>
      <c r="G12" s="25">
        <f t="shared" si="1"/>
        <v>-3.2290717879639226E-2</v>
      </c>
      <c r="H12" s="24">
        <f>SUMIFS(Data_Raw!$AE$2:$AE$73, Data_Raw!$A$2:$A$73, B12)</f>
        <v>290.53498007261305</v>
      </c>
      <c r="I12" s="24">
        <f>SUMIFS(Data_Raw!$AG$2:$AG$73, Data_Raw!$A$2:$A$73, B12)</f>
        <v>305.89761940088641</v>
      </c>
      <c r="J12" s="24">
        <f t="shared" si="2"/>
        <v>-15.36263932827336</v>
      </c>
      <c r="K12" s="25">
        <f t="shared" si="3"/>
        <v>-5.0221506654290891E-2</v>
      </c>
      <c r="L12" s="25">
        <f t="shared" si="4"/>
        <v>0.29775063216521647</v>
      </c>
      <c r="M12" s="23" t="str">
        <f t="shared" si="5"/>
        <v>⚠️ REVIEW</v>
      </c>
    </row>
    <row r="13" spans="2:13" ht="15" x14ac:dyDescent="0.4">
      <c r="B13" s="26">
        <v>45870</v>
      </c>
      <c r="C13" s="18" t="str">
        <f>IF(B13&lt;=Assumptions!$C$19, "Actual", "Forecast")</f>
        <v>Actual</v>
      </c>
      <c r="D13" s="27">
        <f>SUMIFS(Data_Raw!$E$2:$E$73, Data_Raw!$A$2:$A$73, B13)</f>
        <v>985.9842684164488</v>
      </c>
      <c r="E13" s="27">
        <f>SUMIFS(Data_Raw!$O$2:$O$73, Data_Raw!$A$2:$A$73, B13)</f>
        <v>998.80313865636515</v>
      </c>
      <c r="F13" s="27">
        <f t="shared" si="0"/>
        <v>-12.81887023991635</v>
      </c>
      <c r="G13" s="28">
        <f t="shared" si="1"/>
        <v>-1.2834231034917322E-2</v>
      </c>
      <c r="H13" s="27">
        <f>SUMIFS(Data_Raw!$AE$2:$AE$73, Data_Raw!$A$2:$A$73, B13)</f>
        <v>295.47810414829894</v>
      </c>
      <c r="I13" s="27">
        <f>SUMIFS(Data_Raw!$AG$2:$AG$73, Data_Raw!$A$2:$A$73, B13)</f>
        <v>305.30990603033649</v>
      </c>
      <c r="J13" s="27">
        <f t="shared" si="2"/>
        <v>-9.8318018820375528</v>
      </c>
      <c r="K13" s="28">
        <f t="shared" si="3"/>
        <v>-3.2202695319884692E-2</v>
      </c>
      <c r="L13" s="28">
        <f t="shared" si="4"/>
        <v>0.29967831497236247</v>
      </c>
      <c r="M13" s="18" t="str">
        <f t="shared" si="5"/>
        <v>ON TRACK</v>
      </c>
    </row>
    <row r="14" spans="2:13" ht="15" x14ac:dyDescent="0.4">
      <c r="B14" s="22">
        <v>45901</v>
      </c>
      <c r="C14" s="23" t="str">
        <f>IF(B14&lt;=Assumptions!$C$19, "Actual", "Forecast")</f>
        <v>Actual</v>
      </c>
      <c r="D14" s="24">
        <f>SUMIFS(Data_Raw!$E$2:$E$73, Data_Raw!$A$2:$A$73, B14)</f>
        <v>1023.7222623766777</v>
      </c>
      <c r="E14" s="24">
        <f>SUMIFS(Data_Raw!$O$2:$O$73, Data_Raw!$A$2:$A$73, B14)</f>
        <v>1035.2490112819471</v>
      </c>
      <c r="F14" s="24">
        <f t="shared" si="0"/>
        <v>-11.526748905269415</v>
      </c>
      <c r="G14" s="25">
        <f t="shared" si="1"/>
        <v>-1.1134276661608071E-2</v>
      </c>
      <c r="H14" s="24">
        <f>SUMIFS(Data_Raw!$AE$2:$AE$73, Data_Raw!$A$2:$A$73, B14)</f>
        <v>304.03490012876603</v>
      </c>
      <c r="I14" s="24">
        <f>SUMIFS(Data_Raw!$AG$2:$AG$73, Data_Raw!$A$2:$A$73, B14)</f>
        <v>312.91432696877956</v>
      </c>
      <c r="J14" s="24">
        <f t="shared" si="2"/>
        <v>-8.8794268400135365</v>
      </c>
      <c r="K14" s="25">
        <f t="shared" si="3"/>
        <v>-2.8376542953558865E-2</v>
      </c>
      <c r="L14" s="25">
        <f t="shared" si="4"/>
        <v>0.29698963410536505</v>
      </c>
      <c r="M14" s="23" t="str">
        <f t="shared" si="5"/>
        <v>ON TRACK</v>
      </c>
    </row>
    <row r="15" spans="2:13" ht="15" x14ac:dyDescent="0.4">
      <c r="B15" s="26">
        <v>45931</v>
      </c>
      <c r="C15" s="18" t="str">
        <f>IF(B15&lt;=Assumptions!$C$19, "Actual", "Forecast")</f>
        <v>Actual</v>
      </c>
      <c r="D15" s="27">
        <f>SUMIFS(Data_Raw!$E$2:$E$73, Data_Raw!$A$2:$A$73, B15)</f>
        <v>1045.6201889469933</v>
      </c>
      <c r="E15" s="27">
        <f>SUMIFS(Data_Raw!$O$2:$O$73, Data_Raw!$A$2:$A$73, B15)</f>
        <v>1058.9771961244096</v>
      </c>
      <c r="F15" s="27">
        <f t="shared" si="0"/>
        <v>-13.357007177416335</v>
      </c>
      <c r="G15" s="28">
        <f t="shared" si="1"/>
        <v>-1.2613120685034224E-2</v>
      </c>
      <c r="H15" s="27">
        <f>SUMIFS(Data_Raw!$AE$2:$AE$73, Data_Raw!$A$2:$A$73, B15)</f>
        <v>313.22509606755875</v>
      </c>
      <c r="I15" s="27">
        <f>SUMIFS(Data_Raw!$AG$2:$AG$73, Data_Raw!$A$2:$A$73, B15)</f>
        <v>320.74331853250908</v>
      </c>
      <c r="J15" s="27">
        <f t="shared" si="2"/>
        <v>-7.5182224649503269</v>
      </c>
      <c r="K15" s="28">
        <f t="shared" si="3"/>
        <v>-2.343999712713677E-2</v>
      </c>
      <c r="L15" s="28">
        <f t="shared" si="4"/>
        <v>0.29955915099821911</v>
      </c>
      <c r="M15" s="18" t="str">
        <f t="shared" si="5"/>
        <v>ON TRACK</v>
      </c>
    </row>
    <row r="16" spans="2:13" ht="15" x14ac:dyDescent="0.4">
      <c r="B16" s="22">
        <v>45962</v>
      </c>
      <c r="C16" s="23" t="str">
        <f>IF(B16&lt;=Assumptions!$C$19, "Actual", "Forecast")</f>
        <v>Actual</v>
      </c>
      <c r="D16" s="24">
        <f>SUMIFS(Data_Raw!$E$2:$E$73, Data_Raw!$A$2:$A$73, B16)</f>
        <v>1078.4401413576256</v>
      </c>
      <c r="E16" s="24">
        <f>SUMIFS(Data_Raw!$O$2:$O$73, Data_Raw!$A$2:$A$73, B16)</f>
        <v>1088.7827121134997</v>
      </c>
      <c r="F16" s="24">
        <f t="shared" si="0"/>
        <v>-10.342570755874021</v>
      </c>
      <c r="G16" s="25">
        <f t="shared" si="1"/>
        <v>-9.4992055263234797E-3</v>
      </c>
      <c r="H16" s="24">
        <f>SUMIFS(Data_Raw!$AE$2:$AE$73, Data_Raw!$A$2:$A$73, B16)</f>
        <v>324.38506752267756</v>
      </c>
      <c r="I16" s="24">
        <f>SUMIFS(Data_Raw!$AG$2:$AG$73, Data_Raw!$A$2:$A$73, B16)</f>
        <v>334.67145879547627</v>
      </c>
      <c r="J16" s="24">
        <f t="shared" si="2"/>
        <v>-10.28639127279871</v>
      </c>
      <c r="K16" s="25">
        <f t="shared" si="3"/>
        <v>-3.073578879364466E-2</v>
      </c>
      <c r="L16" s="25">
        <f t="shared" si="4"/>
        <v>0.30079098049365632</v>
      </c>
      <c r="M16" s="23" t="str">
        <f t="shared" si="5"/>
        <v>ON TRACK</v>
      </c>
    </row>
    <row r="17" spans="2:13" ht="15" x14ac:dyDescent="0.4">
      <c r="B17" s="26">
        <v>45992</v>
      </c>
      <c r="C17" s="18" t="str">
        <f>IF(B17&lt;=Assumptions!$C$19, "Actual", "Forecast")</f>
        <v>Actual</v>
      </c>
      <c r="D17" s="27">
        <f>SUMIFS(Data_Raw!$E$2:$E$73, Data_Raw!$A$2:$A$73, B17)</f>
        <v>1171.4851063450496</v>
      </c>
      <c r="E17" s="27">
        <f>SUMIFS(Data_Raw!$O$2:$O$73, Data_Raw!$A$2:$A$73, B17)</f>
        <v>1191.0878875624433</v>
      </c>
      <c r="F17" s="27">
        <f t="shared" si="0"/>
        <v>-19.602781217393613</v>
      </c>
      <c r="G17" s="28">
        <f t="shared" si="1"/>
        <v>-1.6457879743459258E-2</v>
      </c>
      <c r="H17" s="27">
        <f>SUMIFS(Data_Raw!$AE$2:$AE$73, Data_Raw!$A$2:$A$73, B17)</f>
        <v>345.60848344879139</v>
      </c>
      <c r="I17" s="27">
        <f>SUMIFS(Data_Raw!$AG$2:$AG$73, Data_Raw!$A$2:$A$73, B17)</f>
        <v>361.984634223184</v>
      </c>
      <c r="J17" s="27">
        <f t="shared" si="2"/>
        <v>-16.376150774392613</v>
      </c>
      <c r="K17" s="28">
        <f t="shared" si="3"/>
        <v>-4.5239905858257483E-2</v>
      </c>
      <c r="L17" s="28">
        <f t="shared" si="4"/>
        <v>0.2950173942262615</v>
      </c>
      <c r="M17" s="18" t="str">
        <f t="shared" si="5"/>
        <v>ON TRACK</v>
      </c>
    </row>
    <row r="18" spans="2:13" ht="15" x14ac:dyDescent="0.4">
      <c r="B18" s="22">
        <v>46023</v>
      </c>
      <c r="C18" s="23" t="str">
        <f>IF(B18&lt;=Assumptions!$C$19, "Actual", "Forecast")</f>
        <v>Actual</v>
      </c>
      <c r="D18" s="24">
        <f>SUMIFS(Data_Raw!$E$2:$E$73, Data_Raw!$A$2:$A$73, B18)</f>
        <v>1172.8466626463285</v>
      </c>
      <c r="E18" s="24">
        <f>SUMIFS(Data_Raw!$O$2:$O$73, Data_Raw!$A$2:$A$73, B18)</f>
        <v>1219.3018763355358</v>
      </c>
      <c r="F18" s="24">
        <f t="shared" si="0"/>
        <v>-46.455213689207312</v>
      </c>
      <c r="G18" s="25">
        <f t="shared" si="1"/>
        <v>-3.8099845978112355E-2</v>
      </c>
      <c r="H18" s="24">
        <f>SUMIFS(Data_Raw!$AE$2:$AE$73, Data_Raw!$A$2:$A$73, B18)</f>
        <v>355.5100607879848</v>
      </c>
      <c r="I18" s="24">
        <f>SUMIFS(Data_Raw!$AG$2:$AG$73, Data_Raw!$A$2:$A$73, B18)</f>
        <v>373.80387607355851</v>
      </c>
      <c r="J18" s="24">
        <f t="shared" si="2"/>
        <v>-18.293815285573714</v>
      </c>
      <c r="K18" s="25">
        <f t="shared" si="3"/>
        <v>-4.8939608325446547E-2</v>
      </c>
      <c r="L18" s="25">
        <f t="shared" si="4"/>
        <v>0.30311725488977131</v>
      </c>
      <c r="M18" s="23" t="str">
        <f t="shared" si="5"/>
        <v>ON TRACK</v>
      </c>
    </row>
    <row r="19" spans="2:13" ht="15" x14ac:dyDescent="0.4">
      <c r="B19" s="26">
        <v>46054</v>
      </c>
      <c r="C19" s="18" t="str">
        <f>IF(B19&lt;=Assumptions!$C$19, "Actual", "Forecast")</f>
        <v>Actual</v>
      </c>
      <c r="D19" s="27">
        <f>SUMIFS(Data_Raw!$E$2:$E$73, Data_Raw!$A$2:$A$73, B19)</f>
        <v>1174.2210570857858</v>
      </c>
      <c r="E19" s="27">
        <f>SUMIFS(Data_Raw!$O$2:$O$73, Data_Raw!$A$2:$A$73, B19)</f>
        <v>1226.7511239289013</v>
      </c>
      <c r="F19" s="27">
        <f t="shared" si="0"/>
        <v>-52.530066843115492</v>
      </c>
      <c r="G19" s="28">
        <f t="shared" si="1"/>
        <v>-4.2820475823065127E-2</v>
      </c>
      <c r="H19" s="27">
        <f>SUMIFS(Data_Raw!$AE$2:$AE$73, Data_Raw!$A$2:$A$73, B19)</f>
        <v>349.4581778570406</v>
      </c>
      <c r="I19" s="27">
        <f>SUMIFS(Data_Raw!$AG$2:$AG$73, Data_Raw!$A$2:$A$73, B19)</f>
        <v>375.74274406255194</v>
      </c>
      <c r="J19" s="27">
        <f t="shared" si="2"/>
        <v>-26.284566205511339</v>
      </c>
      <c r="K19" s="28">
        <f t="shared" si="3"/>
        <v>-6.9953622846634672E-2</v>
      </c>
      <c r="L19" s="28">
        <f t="shared" si="4"/>
        <v>0.29760850884784468</v>
      </c>
      <c r="M19" s="18" t="str">
        <f t="shared" si="5"/>
        <v>⚠️ REVIEW</v>
      </c>
    </row>
    <row r="20" spans="2:13" ht="15" x14ac:dyDescent="0.4">
      <c r="B20" s="22">
        <v>46082</v>
      </c>
      <c r="C20" s="23" t="str">
        <f>IF(B20&lt;=Assumptions!$C$19, "Actual", "Forecast")</f>
        <v>Actual</v>
      </c>
      <c r="D20" s="24">
        <f>SUMIFS(Data_Raw!$E$2:$E$73, Data_Raw!$A$2:$A$73, B20)</f>
        <v>1217.0925014141335</v>
      </c>
      <c r="E20" s="24">
        <f>SUMIFS(Data_Raw!$O$2:$O$73, Data_Raw!$A$2:$A$73, B20)</f>
        <v>1243.5296784028938</v>
      </c>
      <c r="F20" s="24">
        <f t="shared" si="0"/>
        <v>-26.437176988760257</v>
      </c>
      <c r="G20" s="25">
        <f t="shared" si="1"/>
        <v>-2.1259787721925862E-2</v>
      </c>
      <c r="H20" s="24">
        <f>SUMIFS(Data_Raw!$AE$2:$AE$73, Data_Raw!$A$2:$A$73, B20)</f>
        <v>369.14217018240856</v>
      </c>
      <c r="I20" s="24">
        <f>SUMIFS(Data_Raw!$AG$2:$AG$73, Data_Raw!$A$2:$A$73, B20)</f>
        <v>382.2885044101759</v>
      </c>
      <c r="J20" s="24">
        <f t="shared" si="2"/>
        <v>-13.146334227767341</v>
      </c>
      <c r="K20" s="25">
        <f t="shared" si="3"/>
        <v>-3.4388515678886331E-2</v>
      </c>
      <c r="L20" s="25">
        <f t="shared" si="4"/>
        <v>0.30329836865604232</v>
      </c>
      <c r="M20" s="23" t="str">
        <f t="shared" si="5"/>
        <v>ON TRACK</v>
      </c>
    </row>
    <row r="21" spans="2:13" ht="15" x14ac:dyDescent="0.4">
      <c r="B21" s="26">
        <v>46113</v>
      </c>
      <c r="C21" s="18" t="str">
        <f>IF(B21&lt;=Assumptions!$C$19, "Actual", "Forecast")</f>
        <v>Actual</v>
      </c>
      <c r="D21" s="27">
        <f>SUMIFS(Data_Raw!$E$2:$E$73, Data_Raw!$A$2:$A$73, B21)</f>
        <v>1258.3420433951355</v>
      </c>
      <c r="E21" s="27">
        <f>SUMIFS(Data_Raw!$O$2:$O$73, Data_Raw!$A$2:$A$73, B21)</f>
        <v>1321.2673788989471</v>
      </c>
      <c r="F21" s="27">
        <f t="shared" si="0"/>
        <v>-62.925335503811539</v>
      </c>
      <c r="G21" s="28">
        <f t="shared" si="1"/>
        <v>-4.7624982277432115E-2</v>
      </c>
      <c r="H21" s="27">
        <f>SUMIFS(Data_Raw!$AE$2:$AE$73, Data_Raw!$A$2:$A$73, B21)</f>
        <v>373.4051000579077</v>
      </c>
      <c r="I21" s="27">
        <f>SUMIFS(Data_Raw!$AG$2:$AG$73, Data_Raw!$A$2:$A$73, B21)</f>
        <v>402.53163478712048</v>
      </c>
      <c r="J21" s="27">
        <f t="shared" si="2"/>
        <v>-29.126534729212779</v>
      </c>
      <c r="K21" s="28">
        <f t="shared" si="3"/>
        <v>-7.2358374378740181E-2</v>
      </c>
      <c r="L21" s="28">
        <f t="shared" si="4"/>
        <v>0.29674372084908057</v>
      </c>
      <c r="M21" s="18" t="str">
        <f t="shared" si="5"/>
        <v>⚠️ REVIEW</v>
      </c>
    </row>
    <row r="22" spans="2:13" ht="15" x14ac:dyDescent="0.4">
      <c r="B22" s="22">
        <v>46143</v>
      </c>
      <c r="C22" s="23" t="str">
        <f>IF(B22&lt;=Assumptions!$C$19, "Actual", "Forecast")</f>
        <v>Actual</v>
      </c>
      <c r="D22" s="24">
        <f>SUMIFS(Data_Raw!$E$2:$E$73, Data_Raw!$A$2:$A$73, B22)</f>
        <v>1254.6583786124056</v>
      </c>
      <c r="E22" s="24">
        <f>SUMIFS(Data_Raw!$O$2:$O$73, Data_Raw!$A$2:$A$73, B22)</f>
        <v>1293.2082404923378</v>
      </c>
      <c r="F22" s="24">
        <f t="shared" si="0"/>
        <v>-38.549861879932223</v>
      </c>
      <c r="G22" s="25">
        <f t="shared" si="1"/>
        <v>-2.9809477447542317E-2</v>
      </c>
      <c r="H22" s="24">
        <f>SUMIFS(Data_Raw!$AE$2:$AE$73, Data_Raw!$A$2:$A$73, B22)</f>
        <v>376.1274335631536</v>
      </c>
      <c r="I22" s="24">
        <f>SUMIFS(Data_Raw!$AG$2:$AG$73, Data_Raw!$A$2:$A$73, B22)</f>
        <v>397.97260989201641</v>
      </c>
      <c r="J22" s="24">
        <f t="shared" si="2"/>
        <v>-21.845176328862806</v>
      </c>
      <c r="K22" s="25">
        <f t="shared" si="3"/>
        <v>-5.4891155285259834E-2</v>
      </c>
      <c r="L22" s="25">
        <f t="shared" si="4"/>
        <v>0.29978473820031648</v>
      </c>
      <c r="M22" s="23" t="str">
        <f t="shared" si="5"/>
        <v>⚠️ REVIEW</v>
      </c>
    </row>
    <row r="23" spans="2:13" ht="15" x14ac:dyDescent="0.4">
      <c r="B23" s="26">
        <v>46174</v>
      </c>
      <c r="C23" s="18" t="str">
        <f>IF(B23&lt;=Assumptions!$C$19, "Actual", "Forecast")</f>
        <v>Actual</v>
      </c>
      <c r="D23" s="27">
        <f>SUMIFS(Data_Raw!$E$2:$E$73, Data_Raw!$A$2:$A$73, B23)</f>
        <v>1278.2024339654445</v>
      </c>
      <c r="E23" s="27">
        <f>SUMIFS(Data_Raw!$O$2:$O$73, Data_Raw!$A$2:$A$73, B23)</f>
        <v>1310.0753294602623</v>
      </c>
      <c r="F23" s="27">
        <f t="shared" si="0"/>
        <v>-31.87289549481784</v>
      </c>
      <c r="G23" s="28">
        <f t="shared" si="1"/>
        <v>-2.4329055572666305E-2</v>
      </c>
      <c r="H23" s="27">
        <f>SUMIFS(Data_Raw!$AE$2:$AE$73, Data_Raw!$A$2:$A$73, B23)</f>
        <v>384.6597026010711</v>
      </c>
      <c r="I23" s="27">
        <f>SUMIFS(Data_Raw!$AG$2:$AG$73, Data_Raw!$A$2:$A$73, B23)</f>
        <v>402.0387946256609</v>
      </c>
      <c r="J23" s="27">
        <f t="shared" si="2"/>
        <v>-17.379092024589795</v>
      </c>
      <c r="K23" s="28">
        <f t="shared" si="3"/>
        <v>-4.3227400581507321E-2</v>
      </c>
      <c r="L23" s="28">
        <f t="shared" si="4"/>
        <v>0.30093801449565238</v>
      </c>
      <c r="M23" s="18" t="str">
        <f t="shared" si="5"/>
        <v>ON TRACK</v>
      </c>
    </row>
    <row r="24" spans="2:13" ht="15" x14ac:dyDescent="0.4">
      <c r="B24" s="22">
        <v>46204</v>
      </c>
      <c r="C24" s="23" t="str">
        <f>IF(B24&lt;=Assumptions!$C$19, "Actual", "Forecast")</f>
        <v>Actual</v>
      </c>
      <c r="D24" s="24">
        <f>SUMIFS(Data_Raw!$E$2:$E$73, Data_Raw!$A$2:$A$73, B24)</f>
        <v>1250.9383681930883</v>
      </c>
      <c r="E24" s="24">
        <f>SUMIFS(Data_Raw!$O$2:$O$73, Data_Raw!$A$2:$A$73, B24)</f>
        <v>1288.6805899041685</v>
      </c>
      <c r="F24" s="24">
        <f t="shared" si="0"/>
        <v>-37.742221711080219</v>
      </c>
      <c r="G24" s="25">
        <f t="shared" si="1"/>
        <v>-2.9287491413125796E-2</v>
      </c>
      <c r="H24" s="24">
        <f>SUMIFS(Data_Raw!$AE$2:$AE$73, Data_Raw!$A$2:$A$73, B24)</f>
        <v>368.37583860041775</v>
      </c>
      <c r="I24" s="24">
        <f>SUMIFS(Data_Raw!$AG$2:$AG$73, Data_Raw!$A$2:$A$73, B24)</f>
        <v>394.48184665942949</v>
      </c>
      <c r="J24" s="24">
        <f t="shared" si="2"/>
        <v>-26.106008059011742</v>
      </c>
      <c r="K24" s="25">
        <f t="shared" si="3"/>
        <v>-6.6177970621674784E-2</v>
      </c>
      <c r="L24" s="25">
        <f t="shared" si="4"/>
        <v>0.29447960664322448</v>
      </c>
      <c r="M24" s="23" t="str">
        <f t="shared" si="5"/>
        <v>⚠️ REVIEW</v>
      </c>
    </row>
    <row r="25" spans="2:13" ht="15" x14ac:dyDescent="0.4">
      <c r="B25" s="26">
        <v>46235</v>
      </c>
      <c r="C25" s="18" t="str">
        <f>IF(B25&lt;=Assumptions!$C$19, "Actual", "Forecast")</f>
        <v>Actual</v>
      </c>
      <c r="D25" s="27">
        <f>SUMIFS(Data_Raw!$E$2:$E$73, Data_Raw!$A$2:$A$73, B25)</f>
        <v>1262.6486706761573</v>
      </c>
      <c r="E25" s="27">
        <f>SUMIFS(Data_Raw!$O$2:$O$73, Data_Raw!$A$2:$A$73, B25)</f>
        <v>1316.8117647499432</v>
      </c>
      <c r="F25" s="27">
        <f t="shared" si="0"/>
        <v>-54.163094073785942</v>
      </c>
      <c r="G25" s="28">
        <f t="shared" si="1"/>
        <v>-4.1131994354615502E-2</v>
      </c>
      <c r="H25" s="27">
        <f>SUMIFS(Data_Raw!$AE$2:$AE$73, Data_Raw!$A$2:$A$73, B25)</f>
        <v>379.0421120089926</v>
      </c>
      <c r="I25" s="27">
        <f>SUMIFS(Data_Raw!$AG$2:$AG$73, Data_Raw!$A$2:$A$73, B25)</f>
        <v>405.19903872625468</v>
      </c>
      <c r="J25" s="27">
        <f t="shared" si="2"/>
        <v>-26.156926717262081</v>
      </c>
      <c r="K25" s="28">
        <f t="shared" si="3"/>
        <v>-6.4553279295741964E-2</v>
      </c>
      <c r="L25" s="28">
        <f t="shared" si="4"/>
        <v>0.30019602507957566</v>
      </c>
      <c r="M25" s="18" t="str">
        <f t="shared" si="5"/>
        <v>⚠️ REVIEW</v>
      </c>
    </row>
    <row r="26" spans="2:13" ht="15" x14ac:dyDescent="0.4">
      <c r="B26" s="22">
        <v>46266</v>
      </c>
      <c r="C26" s="23" t="str">
        <f>IF(B26&lt;=Assumptions!$C$19, "Actual", "Forecast")</f>
        <v>Actual</v>
      </c>
      <c r="D26" s="24">
        <f>SUMIFS(Data_Raw!$E$2:$E$73, Data_Raw!$A$2:$A$73, B26)</f>
        <v>1277.4763996887248</v>
      </c>
      <c r="E26" s="24">
        <f>SUMIFS(Data_Raw!$O$2:$O$73, Data_Raw!$A$2:$A$73, B26)</f>
        <v>1292.8396343396162</v>
      </c>
      <c r="F26" s="24">
        <f t="shared" si="0"/>
        <v>-15.3632346508914</v>
      </c>
      <c r="G26" s="25">
        <f t="shared" si="1"/>
        <v>-1.1883325853278745E-2</v>
      </c>
      <c r="H26" s="24">
        <f>SUMIFS(Data_Raw!$AE$2:$AE$73, Data_Raw!$A$2:$A$73, B26)</f>
        <v>389.49147325865698</v>
      </c>
      <c r="I26" s="24">
        <f>SUMIFS(Data_Raw!$AG$2:$AG$73, Data_Raw!$A$2:$A$73, B26)</f>
        <v>399.58565201309028</v>
      </c>
      <c r="J26" s="24">
        <f t="shared" si="2"/>
        <v>-10.094178754433301</v>
      </c>
      <c r="K26" s="25">
        <f t="shared" si="3"/>
        <v>-2.5261614634007477E-2</v>
      </c>
      <c r="L26" s="25">
        <f t="shared" si="4"/>
        <v>0.30489132586211543</v>
      </c>
      <c r="M26" s="23" t="str">
        <f t="shared" si="5"/>
        <v>ON TRACK</v>
      </c>
    </row>
    <row r="27" spans="2:13" ht="15" x14ac:dyDescent="0.4">
      <c r="B27" s="26">
        <v>46296</v>
      </c>
      <c r="C27" s="18" t="str">
        <f>IF(B27&lt;=Assumptions!$C$19, "Actual", "Forecast")</f>
        <v>Actual</v>
      </c>
      <c r="D27" s="27">
        <f>SUMIFS(Data_Raw!$E$2:$E$73, Data_Raw!$A$2:$A$73, B27)</f>
        <v>1351.9938694828852</v>
      </c>
      <c r="E27" s="27">
        <f>SUMIFS(Data_Raw!$O$2:$O$73, Data_Raw!$A$2:$A$73, B27)</f>
        <v>1373.2521314481705</v>
      </c>
      <c r="F27" s="27">
        <f t="shared" si="0"/>
        <v>-21.258261965285328</v>
      </c>
      <c r="G27" s="28">
        <f t="shared" si="1"/>
        <v>-1.5480232273783047E-2</v>
      </c>
      <c r="H27" s="27">
        <f>SUMIFS(Data_Raw!$AE$2:$AE$73, Data_Raw!$A$2:$A$73, B27)</f>
        <v>397.03508908646438</v>
      </c>
      <c r="I27" s="27">
        <f>SUMIFS(Data_Raw!$AG$2:$AG$73, Data_Raw!$A$2:$A$73, B27)</f>
        <v>420.27849490659707</v>
      </c>
      <c r="J27" s="27">
        <f t="shared" si="2"/>
        <v>-23.243405820132693</v>
      </c>
      <c r="K27" s="28">
        <f t="shared" si="3"/>
        <v>-5.5304770769435442E-2</v>
      </c>
      <c r="L27" s="28">
        <f t="shared" si="4"/>
        <v>0.29366633832320821</v>
      </c>
      <c r="M27" s="18" t="str">
        <f t="shared" si="5"/>
        <v>⚠️ REVIEW</v>
      </c>
    </row>
    <row r="28" spans="2:13" ht="15" x14ac:dyDescent="0.4">
      <c r="B28" s="22">
        <v>46327</v>
      </c>
      <c r="C28" s="23" t="str">
        <f>IF(B28&lt;=Assumptions!$C$19, "Actual", "Forecast")</f>
        <v>Actual</v>
      </c>
      <c r="D28" s="24">
        <f>SUMIFS(Data_Raw!$E$2:$E$73, Data_Raw!$A$2:$A$73, B28)</f>
        <v>1383.5746844085311</v>
      </c>
      <c r="E28" s="24">
        <f>SUMIFS(Data_Raw!$O$2:$O$73, Data_Raw!$A$2:$A$73, B28)</f>
        <v>1426.9460618832595</v>
      </c>
      <c r="F28" s="24">
        <f t="shared" si="0"/>
        <v>-43.371377474728433</v>
      </c>
      <c r="G28" s="25">
        <f t="shared" si="1"/>
        <v>-3.0394545829915683E-2</v>
      </c>
      <c r="H28" s="24">
        <f>SUMIFS(Data_Raw!$AE$2:$AE$73, Data_Raw!$A$2:$A$73, B28)</f>
        <v>414.44777779712581</v>
      </c>
      <c r="I28" s="24">
        <f>SUMIFS(Data_Raw!$AG$2:$AG$73, Data_Raw!$A$2:$A$73, B28)</f>
        <v>437.0212757100411</v>
      </c>
      <c r="J28" s="24">
        <f t="shared" si="2"/>
        <v>-22.573497912915286</v>
      </c>
      <c r="K28" s="25">
        <f t="shared" si="3"/>
        <v>-5.1653086857703832E-2</v>
      </c>
      <c r="L28" s="25">
        <f t="shared" si="4"/>
        <v>0.29954854079619087</v>
      </c>
      <c r="M28" s="23" t="str">
        <f t="shared" si="5"/>
        <v>⚠️ REVIEW</v>
      </c>
    </row>
    <row r="29" spans="2:13" ht="15" x14ac:dyDescent="0.4">
      <c r="B29" s="26">
        <v>46357</v>
      </c>
      <c r="C29" s="18" t="str">
        <f>IF(B29&lt;=Assumptions!$C$19, "Actual", "Forecast")</f>
        <v>Actual</v>
      </c>
      <c r="D29" s="27">
        <f>SUMIFS(Data_Raw!$E$2:$E$73, Data_Raw!$A$2:$A$73, B29)</f>
        <v>1511.5737422380944</v>
      </c>
      <c r="E29" s="27">
        <f>SUMIFS(Data_Raw!$O$2:$O$73, Data_Raw!$A$2:$A$73, B29)</f>
        <v>1553.0510365197406</v>
      </c>
      <c r="F29" s="27">
        <f t="shared" si="0"/>
        <v>-41.477294281646209</v>
      </c>
      <c r="G29" s="28">
        <f t="shared" si="1"/>
        <v>-2.6706974404777713E-2</v>
      </c>
      <c r="H29" s="27">
        <f>SUMIFS(Data_Raw!$AE$2:$AE$73, Data_Raw!$A$2:$A$73, B29)</f>
        <v>458.50119170773587</v>
      </c>
      <c r="I29" s="27">
        <f>SUMIFS(Data_Raw!$AG$2:$AG$73, Data_Raw!$A$2:$A$73, B29)</f>
        <v>473.85142932237136</v>
      </c>
      <c r="J29" s="27">
        <f t="shared" si="2"/>
        <v>-15.350237614635489</v>
      </c>
      <c r="K29" s="28">
        <f t="shared" si="3"/>
        <v>-3.2394621319570591E-2</v>
      </c>
      <c r="L29" s="28">
        <f t="shared" si="4"/>
        <v>0.30332704180800424</v>
      </c>
      <c r="M29" s="18" t="str">
        <f t="shared" si="5"/>
        <v>ON TRACK</v>
      </c>
    </row>
    <row r="30" spans="2:13" ht="15" x14ac:dyDescent="0.4">
      <c r="B30" s="29" t="s">
        <v>117</v>
      </c>
      <c r="C30" s="29"/>
      <c r="D30" s="30">
        <f>SUM(D6:D29)</f>
        <v>27609.673440223993</v>
      </c>
      <c r="E30" s="30">
        <f>SUM(E6:E29)</f>
        <v>28238.293291830003</v>
      </c>
      <c r="F30" s="30">
        <f t="shared" si="0"/>
        <v>-628.61985160601034</v>
      </c>
      <c r="G30" s="31">
        <f>F30/E30</f>
        <v>-2.2261255137111448E-2</v>
      </c>
      <c r="H30" s="30">
        <f>SUM(H6:H29)</f>
        <v>8248.2816635069157</v>
      </c>
      <c r="I30" s="30">
        <f>SUM(I6:I29)</f>
        <v>8625.8539903820802</v>
      </c>
      <c r="J30" s="30">
        <f t="shared" si="2"/>
        <v>-377.57232687516444</v>
      </c>
      <c r="K30" s="31">
        <f>J30/ABS(I30)</f>
        <v>-4.3772167636521746E-2</v>
      </c>
      <c r="L30" s="31">
        <f>H30/D30</f>
        <v>0.29874607830348893</v>
      </c>
      <c r="M30" s="32" t="str">
        <f>IF(K30&lt;-0.05, "⚠️ REVIEW", "ON TRACK")</f>
        <v>ON TRACK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4"/>
  <sheetViews>
    <sheetView workbookViewId="0"/>
  </sheetViews>
  <sheetFormatPr defaultRowHeight="14.5" x14ac:dyDescent="0.35"/>
  <cols>
    <col min="1" max="1" width="4" customWidth="1"/>
    <col min="2" max="2" width="79" customWidth="1"/>
    <col min="3" max="3" width="19" customWidth="1"/>
    <col min="4" max="4" width="16" customWidth="1"/>
    <col min="5" max="6" width="21" customWidth="1"/>
    <col min="7" max="7" width="71" customWidth="1"/>
    <col min="8" max="8" width="12" customWidth="1"/>
    <col min="9" max="9" width="19" customWidth="1"/>
  </cols>
  <sheetData>
    <row r="2" spans="2:9" ht="22.5" x14ac:dyDescent="0.6">
      <c r="B2" s="10" t="s">
        <v>118</v>
      </c>
      <c r="I2" s="11" t="s">
        <v>74</v>
      </c>
    </row>
    <row r="3" spans="2:9" x14ac:dyDescent="0.35">
      <c r="B3" s="12" t="s">
        <v>119</v>
      </c>
      <c r="I3" s="13" t="str">
        <f>IF(Checks!$C$13="ALL CHECKS PASS", "🟢 ALL CHECKS PASS", "🔴 AUDIT WARNING")</f>
        <v>🟢 ALL CHECKS PASS</v>
      </c>
    </row>
    <row r="5" spans="2:9" ht="16.5" x14ac:dyDescent="0.45">
      <c r="B5" s="3" t="s">
        <v>120</v>
      </c>
    </row>
    <row r="6" spans="2:9" ht="15" x14ac:dyDescent="0.4">
      <c r="B6" s="8" t="s">
        <v>121</v>
      </c>
      <c r="C6" s="8" t="s">
        <v>122</v>
      </c>
      <c r="D6" s="8" t="s">
        <v>123</v>
      </c>
      <c r="E6" s="8" t="s">
        <v>124</v>
      </c>
      <c r="F6" s="8" t="s">
        <v>125</v>
      </c>
      <c r="G6" s="8" t="s">
        <v>126</v>
      </c>
    </row>
    <row r="7" spans="2:9" ht="15" x14ac:dyDescent="0.4">
      <c r="B7" s="33" t="s">
        <v>127</v>
      </c>
      <c r="C7" s="34">
        <f>Monthly_Report!I30</f>
        <v>8625.8539903820802</v>
      </c>
      <c r="D7" s="34">
        <v>0</v>
      </c>
      <c r="E7" s="35">
        <f>C7</f>
        <v>8625.8539903820802</v>
      </c>
      <c r="F7" s="36" t="s">
        <v>128</v>
      </c>
      <c r="G7" s="37" t="s">
        <v>129</v>
      </c>
    </row>
    <row r="8" spans="2:9" ht="15" x14ac:dyDescent="0.4">
      <c r="B8" s="5" t="s">
        <v>130</v>
      </c>
      <c r="C8" s="9">
        <v>0</v>
      </c>
      <c r="D8" s="38">
        <f>Monthly_Report!F30</f>
        <v>-628.61985160601034</v>
      </c>
      <c r="E8" s="38">
        <f t="shared" ref="E8:E13" si="0">E7+D8</f>
        <v>7997.2341387760698</v>
      </c>
      <c r="F8" s="18" t="s">
        <v>131</v>
      </c>
      <c r="G8" s="19" t="s">
        <v>132</v>
      </c>
    </row>
    <row r="9" spans="2:9" ht="15" x14ac:dyDescent="0.4">
      <c r="B9" s="5" t="s">
        <v>133</v>
      </c>
      <c r="C9" s="9">
        <v>0</v>
      </c>
      <c r="D9" s="38">
        <f>(SUM(Data_Raw!$G$2:$G$73)-SUM(Data_Raw!$AF$2:$AF$73)) - Monthly_Report!F30</f>
        <v>195.86545383756129</v>
      </c>
      <c r="E9" s="38">
        <f t="shared" si="0"/>
        <v>8193.0995926136311</v>
      </c>
      <c r="F9" s="18" t="s">
        <v>38</v>
      </c>
      <c r="G9" s="19" t="s">
        <v>134</v>
      </c>
    </row>
    <row r="10" spans="2:9" ht="15" x14ac:dyDescent="0.4">
      <c r="B10" s="5" t="s">
        <v>135</v>
      </c>
      <c r="C10" s="9">
        <v>0</v>
      </c>
      <c r="D10" s="38">
        <f>SUM(Data_Raw!$R$2:$R$73)-SUM(Data_Raw!$I$2:$I$73)</f>
        <v>1.8186120000000585</v>
      </c>
      <c r="E10" s="38">
        <f t="shared" si="0"/>
        <v>8194.918204613632</v>
      </c>
      <c r="F10" s="18" t="s">
        <v>136</v>
      </c>
      <c r="G10" s="19" t="s">
        <v>137</v>
      </c>
    </row>
    <row r="11" spans="2:9" ht="15" x14ac:dyDescent="0.4">
      <c r="B11" s="5" t="s">
        <v>138</v>
      </c>
      <c r="C11" s="9">
        <v>0</v>
      </c>
      <c r="D11" s="38">
        <f>SUM(Data_Raw!$S$2:$S$73)-SUM(Data_Raw!$J$2:$J$73)</f>
        <v>47.737280102356408</v>
      </c>
      <c r="E11" s="38">
        <f t="shared" si="0"/>
        <v>8242.6554847159878</v>
      </c>
      <c r="F11" s="18" t="s">
        <v>136</v>
      </c>
      <c r="G11" s="19" t="s">
        <v>139</v>
      </c>
    </row>
    <row r="12" spans="2:9" ht="15" x14ac:dyDescent="0.4">
      <c r="B12" s="5" t="s">
        <v>140</v>
      </c>
      <c r="C12" s="9">
        <v>0</v>
      </c>
      <c r="D12" s="38">
        <f>SUM(Data_Raw!$T$2:$T$73)-SUM(Data_Raw!$K$2:$K$73)</f>
        <v>11.862777276554539</v>
      </c>
      <c r="E12" s="38">
        <f t="shared" si="0"/>
        <v>8254.5182619925417</v>
      </c>
      <c r="F12" s="18" t="s">
        <v>141</v>
      </c>
      <c r="G12" s="19" t="s">
        <v>142</v>
      </c>
    </row>
    <row r="13" spans="2:9" ht="15" x14ac:dyDescent="0.4">
      <c r="B13" s="5" t="s">
        <v>143</v>
      </c>
      <c r="C13" s="9">
        <v>0</v>
      </c>
      <c r="D13" s="38">
        <f>SUM(Data_Raw!$U$2:$U$73)-SUM(Data_Raw!$L$2:$L$73)</f>
        <v>-6.2365984856189698</v>
      </c>
      <c r="E13" s="38">
        <f t="shared" si="0"/>
        <v>8248.281663506923</v>
      </c>
      <c r="F13" s="18" t="s">
        <v>141</v>
      </c>
      <c r="G13" s="19" t="s">
        <v>144</v>
      </c>
    </row>
    <row r="14" spans="2:9" ht="15" x14ac:dyDescent="0.4">
      <c r="B14" s="29" t="s">
        <v>145</v>
      </c>
      <c r="C14" s="39">
        <v>0</v>
      </c>
      <c r="D14" s="39">
        <v>0</v>
      </c>
      <c r="E14" s="40">
        <f>E13</f>
        <v>8248.281663506923</v>
      </c>
      <c r="F14" s="41" t="s">
        <v>146</v>
      </c>
      <c r="G14" s="42" t="s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1"/>
  <sheetViews>
    <sheetView topLeftCell="A19" workbookViewId="0">
      <selection activeCell="D7" sqref="D7:E7"/>
    </sheetView>
  </sheetViews>
  <sheetFormatPr defaultRowHeight="14.5" x14ac:dyDescent="0.35"/>
  <cols>
    <col min="1" max="1" width="4" customWidth="1"/>
    <col min="2" max="2" width="71" customWidth="1"/>
    <col min="3" max="3" width="65" customWidth="1"/>
    <col min="4" max="4" width="72" customWidth="1"/>
    <col min="5" max="5" width="93" customWidth="1"/>
    <col min="6" max="8" width="16" customWidth="1"/>
    <col min="9" max="9" width="19" customWidth="1"/>
    <col min="10" max="10" width="16" customWidth="1"/>
  </cols>
  <sheetData>
    <row r="2" spans="2:10" ht="22.5" x14ac:dyDescent="0.6">
      <c r="B2" s="10" t="s">
        <v>148</v>
      </c>
      <c r="I2" s="11" t="s">
        <v>74</v>
      </c>
    </row>
    <row r="3" spans="2:10" x14ac:dyDescent="0.35">
      <c r="B3" s="12" t="s">
        <v>149</v>
      </c>
      <c r="I3" s="13" t="str">
        <f>IF(Checks!$C$13="ALL CHECKS PASS", "🟢 ALL CHECKS PASS", "🔴 AUDIT WARNING")</f>
        <v>🟢 ALL CHECKS PASS</v>
      </c>
    </row>
    <row r="5" spans="2:10" x14ac:dyDescent="0.35">
      <c r="B5" s="51" t="s">
        <v>150</v>
      </c>
      <c r="C5" s="48"/>
      <c r="D5" s="51" t="s">
        <v>151</v>
      </c>
      <c r="E5" s="48"/>
      <c r="F5" s="51" t="s">
        <v>152</v>
      </c>
      <c r="G5" s="48"/>
      <c r="H5" s="51" t="s">
        <v>153</v>
      </c>
      <c r="I5" s="48"/>
    </row>
    <row r="6" spans="2:10" ht="21" x14ac:dyDescent="0.55000000000000004">
      <c r="B6" s="47">
        <f>Monthly_Report!D30</f>
        <v>27609.673440223993</v>
      </c>
      <c r="C6" s="48"/>
      <c r="D6" s="47">
        <f>Monthly_Report!H30</f>
        <v>8248.2816635069157</v>
      </c>
      <c r="E6" s="48"/>
      <c r="F6" s="50">
        <f>Monthly_Report!L30</f>
        <v>0.29874607830348893</v>
      </c>
      <c r="G6" s="48"/>
      <c r="H6" s="50">
        <f>(Monthly_Report!D30-Monthly_Report!H30)/Monthly_Report!D30</f>
        <v>0.70125392169651113</v>
      </c>
      <c r="I6" s="48"/>
    </row>
    <row r="7" spans="2:10" x14ac:dyDescent="0.35">
      <c r="B7" s="49" t="str">
        <f>"vs Plan: " &amp; TEXT(Monthly_Report!F30, "+#,##0.0;-#,##0.0") &amp; " (" &amp; TEXT(Monthly_Report!G30, "+0.0%;-0.0%") &amp; ")"</f>
        <v>vs Plan: -628.6 (-2.2%)</v>
      </c>
      <c r="C7" s="48"/>
      <c r="D7" s="49" t="str">
        <f>"vs Plan: " &amp; TEXT(Monthly_Report!J30, "+#,##0.0;-#,##0.0") &amp; " (" &amp; TEXT(Monthly_Report!K30, "+0.0%;-0.0%") &amp; ")"</f>
        <v>vs Plan: -377.6 (-4.4%)</v>
      </c>
      <c r="E7" s="48"/>
      <c r="F7" s="49" t="str">
        <f>"Target: " &amp; TEXT(Monthly_Report!I30/Monthly_Report!E30, "0.0%")</f>
        <v>Target: 30.5%</v>
      </c>
      <c r="G7" s="48"/>
      <c r="H7" s="49" t="str">
        <f>"Plan: " &amp; TEXT((Monthly_Report!E30-Monthly_Report!I30)/Monthly_Report!E30, "0.0%")</f>
        <v>Plan: 69.5%</v>
      </c>
      <c r="I7" s="48"/>
    </row>
    <row r="10" spans="2:10" ht="16.5" x14ac:dyDescent="0.45">
      <c r="B10" s="3" t="s">
        <v>154</v>
      </c>
    </row>
    <row r="11" spans="2:10" ht="15" x14ac:dyDescent="0.4">
      <c r="B11" s="8" t="s">
        <v>36</v>
      </c>
      <c r="C11" s="8" t="s">
        <v>107</v>
      </c>
      <c r="D11" s="8" t="s">
        <v>108</v>
      </c>
      <c r="E11" s="8" t="s">
        <v>109</v>
      </c>
      <c r="F11" s="8" t="s">
        <v>110</v>
      </c>
      <c r="G11" s="8" t="s">
        <v>111</v>
      </c>
      <c r="H11" s="8" t="s">
        <v>112</v>
      </c>
      <c r="I11" s="8" t="s">
        <v>113</v>
      </c>
      <c r="J11" s="8" t="s">
        <v>115</v>
      </c>
    </row>
    <row r="12" spans="2:10" ht="15" x14ac:dyDescent="0.4">
      <c r="B12" s="4" t="s">
        <v>68</v>
      </c>
      <c r="C12" s="27">
        <f>SUMIFS(Data_Raw!$E$2:$E$73, Data_Raw!$D$2:$D$73, "Consumer")</f>
        <v>14158.335516951112</v>
      </c>
      <c r="D12" s="27">
        <f>SUMIFS(Data_Raw!$O$2:$O$73, Data_Raw!$D$2:$D$73, "Consumer")</f>
        <v>14477.651269710428</v>
      </c>
      <c r="E12" s="27">
        <f>C12-D12</f>
        <v>-319.31575275931573</v>
      </c>
      <c r="F12" s="28">
        <f>E12/D12</f>
        <v>-2.205577042923914E-2</v>
      </c>
      <c r="G12" s="27">
        <f>SUMIFS(Data_Raw!$AE$2:$AE$73, Data_Raw!$D$2:$D$73, "Consumer")</f>
        <v>3382.166495005134</v>
      </c>
      <c r="H12" s="27">
        <f>SUMIFS(Data_Raw!$AG$2:$AG$73, Data_Raw!$D$2:$D$73, "Consumer")</f>
        <v>3522.3333963487653</v>
      </c>
      <c r="I12" s="27">
        <f>G12-H12</f>
        <v>-140.16690134363125</v>
      </c>
      <c r="J12" s="28">
        <f>G12/C12</f>
        <v>0.23888164614801113</v>
      </c>
    </row>
    <row r="13" spans="2:10" ht="15" x14ac:dyDescent="0.4">
      <c r="B13" s="4" t="s">
        <v>71</v>
      </c>
      <c r="C13" s="27">
        <f>SUMIFS(Data_Raw!$E$2:$E$73, Data_Raw!$D$2:$D$73, "Digital")</f>
        <v>5141.5674810423898</v>
      </c>
      <c r="D13" s="27">
        <f>SUMIFS(Data_Raw!$O$2:$O$73, Data_Raw!$D$2:$D$73, "Digital")</f>
        <v>5258.5278764245068</v>
      </c>
      <c r="E13" s="27">
        <f>C13-D13</f>
        <v>-116.96039538211699</v>
      </c>
      <c r="F13" s="28">
        <f>E13/D13</f>
        <v>-2.2242041523918527E-2</v>
      </c>
      <c r="G13" s="27">
        <f>SUMIFS(Data_Raw!$AE$2:$AE$73, Data_Raw!$D$2:$D$73, "Digital")</f>
        <v>2215.8051641425291</v>
      </c>
      <c r="H13" s="27">
        <f>SUMIFS(Data_Raw!$AG$2:$AG$73, Data_Raw!$D$2:$D$73, "Digital")</f>
        <v>2346.5401843910277</v>
      </c>
      <c r="I13" s="27">
        <f>G13-H13</f>
        <v>-130.73502024849859</v>
      </c>
      <c r="J13" s="28">
        <f>G13/C13</f>
        <v>0.43095907470095124</v>
      </c>
    </row>
    <row r="14" spans="2:10" ht="15" x14ac:dyDescent="0.4">
      <c r="B14" s="4" t="s">
        <v>70</v>
      </c>
      <c r="C14" s="27">
        <f>SUMIFS(Data_Raw!$E$2:$E$73, Data_Raw!$D$2:$D$73, "Enterprise")</f>
        <v>8309.7704422304887</v>
      </c>
      <c r="D14" s="27">
        <f>SUMIFS(Data_Raw!$O$2:$O$73, Data_Raw!$D$2:$D$73, "Enterprise")</f>
        <v>8502.1141456950681</v>
      </c>
      <c r="E14" s="27">
        <f>C14-D14</f>
        <v>-192.34370346457945</v>
      </c>
      <c r="F14" s="28">
        <f>E14/D14</f>
        <v>-2.2623044123910065E-2</v>
      </c>
      <c r="G14" s="27">
        <f>SUMIFS(Data_Raw!$AE$2:$AE$73, Data_Raw!$D$2:$D$73, "Enterprise")</f>
        <v>2650.310004359254</v>
      </c>
      <c r="H14" s="27">
        <f>SUMIFS(Data_Raw!$AG$2:$AG$73, Data_Raw!$D$2:$D$73, "Enterprise")</f>
        <v>2756.9804096422881</v>
      </c>
      <c r="I14" s="27">
        <f>G14-H14</f>
        <v>-106.67040528303414</v>
      </c>
      <c r="J14" s="28">
        <f>G14/C14</f>
        <v>0.3189390155581559</v>
      </c>
    </row>
    <row r="15" spans="2:10" ht="15" x14ac:dyDescent="0.4">
      <c r="B15" s="29" t="s">
        <v>117</v>
      </c>
      <c r="C15" s="30">
        <f>SUM(C12:C14)</f>
        <v>27609.673440223989</v>
      </c>
      <c r="D15" s="30">
        <f>SUM(D12:D14)</f>
        <v>28238.293291830003</v>
      </c>
      <c r="E15" s="30">
        <f>C15-D15</f>
        <v>-628.61985160601398</v>
      </c>
      <c r="F15" s="31">
        <f>E15/D15</f>
        <v>-2.2261255137111576E-2</v>
      </c>
      <c r="G15" s="30">
        <f>SUM(G12:G14)</f>
        <v>8248.2816635069175</v>
      </c>
      <c r="H15" s="30">
        <f>SUM(H12:H14)</f>
        <v>8625.853990382082</v>
      </c>
      <c r="I15" s="30">
        <f>G15-H15</f>
        <v>-377.57232687516444</v>
      </c>
      <c r="J15" s="31">
        <f>G15/C15</f>
        <v>0.29874607830348904</v>
      </c>
    </row>
    <row r="17" spans="2:5" ht="16.5" x14ac:dyDescent="0.45">
      <c r="B17" s="3" t="s">
        <v>155</v>
      </c>
    </row>
    <row r="18" spans="2:5" ht="15" x14ac:dyDescent="0.4">
      <c r="B18" s="8" t="s">
        <v>156</v>
      </c>
      <c r="C18" s="8" t="s">
        <v>157</v>
      </c>
      <c r="D18" s="8" t="s">
        <v>158</v>
      </c>
      <c r="E18" s="8" t="s">
        <v>159</v>
      </c>
    </row>
    <row r="19" spans="2:5" ht="15" x14ac:dyDescent="0.4">
      <c r="B19" s="4" t="s">
        <v>160</v>
      </c>
      <c r="C19" s="5" t="s">
        <v>161</v>
      </c>
      <c r="D19" s="19" t="s">
        <v>162</v>
      </c>
      <c r="E19" s="4" t="s">
        <v>163</v>
      </c>
    </row>
    <row r="20" spans="2:5" ht="15" x14ac:dyDescent="0.4">
      <c r="B20" s="4" t="s">
        <v>164</v>
      </c>
      <c r="C20" s="5" t="s">
        <v>165</v>
      </c>
      <c r="D20" s="19" t="s">
        <v>166</v>
      </c>
      <c r="E20" s="4" t="s">
        <v>167</v>
      </c>
    </row>
    <row r="21" spans="2:5" ht="15" x14ac:dyDescent="0.4">
      <c r="B21" s="4" t="s">
        <v>168</v>
      </c>
      <c r="C21" s="5" t="s">
        <v>169</v>
      </c>
      <c r="D21" s="19" t="s">
        <v>170</v>
      </c>
      <c r="E21" s="4" t="s">
        <v>171</v>
      </c>
    </row>
  </sheetData>
  <mergeCells count="12">
    <mergeCell ref="B5:C5"/>
    <mergeCell ref="H7:I7"/>
    <mergeCell ref="F5:G5"/>
    <mergeCell ref="D5:E5"/>
    <mergeCell ref="F6:G6"/>
    <mergeCell ref="H5:I5"/>
    <mergeCell ref="F7:G7"/>
    <mergeCell ref="D6:E6"/>
    <mergeCell ref="B6:C6"/>
    <mergeCell ref="D7:E7"/>
    <mergeCell ref="B7:C7"/>
    <mergeCell ref="H6:I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4"/>
  <sheetViews>
    <sheetView workbookViewId="0"/>
  </sheetViews>
  <sheetFormatPr defaultRowHeight="14.5" x14ac:dyDescent="0.35"/>
  <cols>
    <col min="1" max="1" width="4" customWidth="1"/>
    <col min="2" max="2" width="92" customWidth="1"/>
    <col min="3" max="3" width="37" customWidth="1"/>
    <col min="4" max="4" width="41" customWidth="1"/>
    <col min="5" max="5" width="28" customWidth="1"/>
    <col min="6" max="6" width="56" customWidth="1"/>
    <col min="7" max="8" width="12" customWidth="1"/>
    <col min="9" max="9" width="19" customWidth="1"/>
  </cols>
  <sheetData>
    <row r="2" spans="2:9" ht="22.5" x14ac:dyDescent="0.6">
      <c r="B2" s="10" t="s">
        <v>172</v>
      </c>
      <c r="I2" s="11" t="s">
        <v>74</v>
      </c>
    </row>
    <row r="3" spans="2:9" x14ac:dyDescent="0.35">
      <c r="B3" s="12" t="s">
        <v>173</v>
      </c>
      <c r="I3" s="13" t="str">
        <f>IF(Checks!$C$13="ALL CHECKS PASS", "🟢 ALL CHECKS PASS", "🔴 AUDIT WARNING")</f>
        <v>🟢 ALL CHECKS PASS</v>
      </c>
    </row>
    <row r="5" spans="2:9" ht="16.5" x14ac:dyDescent="0.45">
      <c r="B5" s="3" t="s">
        <v>174</v>
      </c>
    </row>
    <row r="6" spans="2:9" ht="15" x14ac:dyDescent="0.4">
      <c r="B6" s="8" t="s">
        <v>175</v>
      </c>
      <c r="C6" s="8" t="s">
        <v>176</v>
      </c>
      <c r="D6" s="8" t="s">
        <v>177</v>
      </c>
      <c r="E6" s="8" t="s">
        <v>178</v>
      </c>
      <c r="F6" s="8" t="s">
        <v>179</v>
      </c>
    </row>
    <row r="7" spans="2:9" ht="15" x14ac:dyDescent="0.4">
      <c r="B7" s="4" t="s">
        <v>180</v>
      </c>
      <c r="C7" s="4" t="s">
        <v>181</v>
      </c>
      <c r="D7" s="5" t="s">
        <v>182</v>
      </c>
      <c r="E7" s="5" t="s">
        <v>183</v>
      </c>
      <c r="F7" s="19" t="s">
        <v>184</v>
      </c>
    </row>
    <row r="8" spans="2:9" ht="15" x14ac:dyDescent="0.4">
      <c r="B8" s="4" t="s">
        <v>185</v>
      </c>
      <c r="C8" s="4" t="s">
        <v>186</v>
      </c>
      <c r="D8" s="5" t="s">
        <v>187</v>
      </c>
      <c r="E8" s="5" t="s">
        <v>188</v>
      </c>
      <c r="F8" s="19" t="s">
        <v>189</v>
      </c>
    </row>
    <row r="9" spans="2:9" ht="15" x14ac:dyDescent="0.4">
      <c r="B9" s="4" t="s">
        <v>190</v>
      </c>
      <c r="C9" s="4" t="s">
        <v>191</v>
      </c>
      <c r="D9" s="5" t="s">
        <v>192</v>
      </c>
      <c r="E9" s="5" t="s">
        <v>193</v>
      </c>
      <c r="F9" s="19" t="s">
        <v>194</v>
      </c>
    </row>
    <row r="10" spans="2:9" ht="15" x14ac:dyDescent="0.4">
      <c r="B10" s="4" t="s">
        <v>195</v>
      </c>
      <c r="C10" s="4" t="s">
        <v>196</v>
      </c>
      <c r="D10" s="5" t="s">
        <v>197</v>
      </c>
      <c r="E10" s="5" t="s">
        <v>198</v>
      </c>
      <c r="F10" s="19" t="s">
        <v>199</v>
      </c>
    </row>
    <row r="11" spans="2:9" ht="15" x14ac:dyDescent="0.4">
      <c r="B11" s="4" t="s">
        <v>200</v>
      </c>
      <c r="C11" s="4" t="s">
        <v>201</v>
      </c>
      <c r="D11" s="5" t="s">
        <v>202</v>
      </c>
      <c r="E11" s="5" t="s">
        <v>203</v>
      </c>
      <c r="F11" s="19" t="s">
        <v>204</v>
      </c>
    </row>
    <row r="12" spans="2:9" ht="15" x14ac:dyDescent="0.4">
      <c r="B12" s="4" t="s">
        <v>205</v>
      </c>
      <c r="C12" s="4" t="s">
        <v>206</v>
      </c>
      <c r="D12" s="5" t="s">
        <v>207</v>
      </c>
      <c r="E12" s="5" t="s">
        <v>208</v>
      </c>
      <c r="F12" s="19" t="s">
        <v>209</v>
      </c>
    </row>
    <row r="13" spans="2:9" ht="15" x14ac:dyDescent="0.4">
      <c r="B13" s="4" t="s">
        <v>210</v>
      </c>
      <c r="C13" s="4" t="s">
        <v>211</v>
      </c>
      <c r="D13" s="5" t="s">
        <v>212</v>
      </c>
      <c r="E13" s="5" t="s">
        <v>213</v>
      </c>
      <c r="F13" s="19" t="s">
        <v>214</v>
      </c>
    </row>
    <row r="14" spans="2:9" ht="15" x14ac:dyDescent="0.4">
      <c r="B14" s="4" t="s">
        <v>215</v>
      </c>
      <c r="C14" s="4" t="s">
        <v>216</v>
      </c>
      <c r="D14" s="5" t="s">
        <v>217</v>
      </c>
      <c r="E14" s="5" t="s">
        <v>218</v>
      </c>
      <c r="F14" s="19" t="s">
        <v>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3"/>
  <sheetViews>
    <sheetView tabSelected="1" workbookViewId="0">
      <selection activeCell="H3" sqref="H3"/>
    </sheetView>
  </sheetViews>
  <sheetFormatPr defaultRowHeight="14.5" x14ac:dyDescent="0.35"/>
  <cols>
    <col min="1" max="1" width="4" customWidth="1"/>
    <col min="2" max="2" width="83" customWidth="1"/>
    <col min="3" max="3" width="24" customWidth="1"/>
    <col min="4" max="4" width="16" customWidth="1"/>
    <col min="5" max="5" width="13" customWidth="1"/>
    <col min="6" max="6" width="16" customWidth="1"/>
    <col min="7" max="7" width="67" customWidth="1"/>
    <col min="8" max="8" width="12" customWidth="1"/>
    <col min="9" max="9" width="19" customWidth="1"/>
  </cols>
  <sheetData>
    <row r="2" spans="2:7" ht="22.5" x14ac:dyDescent="0.6">
      <c r="B2" s="10" t="s">
        <v>220</v>
      </c>
      <c r="G2" s="11" t="s">
        <v>74</v>
      </c>
    </row>
    <row r="3" spans="2:7" x14ac:dyDescent="0.35">
      <c r="B3" s="12" t="s">
        <v>221</v>
      </c>
      <c r="G3" s="13" t="str">
        <f>IF(Checks!$C$13="ALL CHECKS PASS", "🟢 ALL CHECKS PASS", "🔴 AUDIT WARNING")</f>
        <v>🟢 ALL CHECKS PASS</v>
      </c>
    </row>
    <row r="5" spans="2:7" ht="16.5" x14ac:dyDescent="0.45">
      <c r="B5" s="3" t="s">
        <v>222</v>
      </c>
    </row>
    <row r="6" spans="2:7" ht="15" x14ac:dyDescent="0.4">
      <c r="B6" s="8" t="s">
        <v>223</v>
      </c>
      <c r="C6" s="8" t="s">
        <v>224</v>
      </c>
      <c r="D6" s="8" t="s">
        <v>225</v>
      </c>
      <c r="E6" s="8" t="s">
        <v>226</v>
      </c>
      <c r="F6" s="8" t="s">
        <v>227</v>
      </c>
      <c r="G6" s="8" t="s">
        <v>228</v>
      </c>
    </row>
    <row r="7" spans="2:7" ht="15" x14ac:dyDescent="0.4">
      <c r="B7" s="4" t="s">
        <v>229</v>
      </c>
      <c r="C7" s="19" t="s">
        <v>230</v>
      </c>
      <c r="D7" s="43">
        <f>Dashboard!C15-Monthly_Report!D30</f>
        <v>0</v>
      </c>
      <c r="E7" s="44">
        <v>0.01</v>
      </c>
      <c r="F7" s="45" t="str">
        <f>IF(ABS(D7)&lt;=E7, "PASS", "FLAGGED")</f>
        <v>PASS</v>
      </c>
      <c r="G7" s="19" t="s">
        <v>231</v>
      </c>
    </row>
    <row r="8" spans="2:7" ht="15" x14ac:dyDescent="0.4">
      <c r="B8" s="4" t="s">
        <v>232</v>
      </c>
      <c r="C8" s="19" t="s">
        <v>230</v>
      </c>
      <c r="D8" s="43">
        <f>Dashboard!G15-Monthly_Report!H30</f>
        <v>0</v>
      </c>
      <c r="E8" s="44">
        <v>0.01</v>
      </c>
      <c r="F8" s="45" t="str">
        <f>IF(ABS(D8)&lt;=E8, "PASS", "FLAGGED")</f>
        <v>PASS</v>
      </c>
      <c r="G8" s="19" t="s">
        <v>233</v>
      </c>
    </row>
    <row r="9" spans="2:7" ht="15" x14ac:dyDescent="0.4">
      <c r="B9" s="4" t="s">
        <v>234</v>
      </c>
      <c r="C9" s="19" t="s">
        <v>230</v>
      </c>
      <c r="D9" s="43">
        <f>Driver_Analysis!E14-Monthly_Report!H30</f>
        <v>0</v>
      </c>
      <c r="E9" s="44">
        <v>0.01</v>
      </c>
      <c r="F9" s="45" t="str">
        <f>IF(ABS(D9)&lt;=E9, "PASS", "FLAGGED")</f>
        <v>PASS</v>
      </c>
      <c r="G9" s="19" t="s">
        <v>235</v>
      </c>
    </row>
    <row r="10" spans="2:7" ht="15" x14ac:dyDescent="0.4">
      <c r="B10" s="4" t="s">
        <v>236</v>
      </c>
      <c r="C10" s="19" t="s">
        <v>230</v>
      </c>
      <c r="D10" s="43">
        <f>COUNT(Data_Raw!E2:E73)-72</f>
        <v>0</v>
      </c>
      <c r="E10" s="44">
        <v>0.01</v>
      </c>
      <c r="F10" s="45" t="str">
        <f>IF(ABS(D10)&lt;=E10, "PASS", "FLAGGED")</f>
        <v>PASS</v>
      </c>
      <c r="G10" s="19" t="s">
        <v>237</v>
      </c>
    </row>
    <row r="13" spans="2:7" ht="16.5" x14ac:dyDescent="0.45">
      <c r="B13" s="3" t="s">
        <v>238</v>
      </c>
      <c r="C13" s="46" t="str">
        <f>IF(COUNTIF(F7:F10, "FLAGGED")=0, "ALL CHECKS PASS", "ATTENTION: AUDIT FAILED")</f>
        <v>ALL CHECKS 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Data_Raw</vt:lpstr>
      <vt:lpstr>Assumptions</vt:lpstr>
      <vt:lpstr>Monthly_Report</vt:lpstr>
      <vt:lpstr>Driver_Analysis</vt:lpstr>
      <vt:lpstr>Dashboard</vt:lpstr>
      <vt:lpstr>KPI_Tree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Yashraj Verma</cp:lastModifiedBy>
  <dcterms:created xsi:type="dcterms:W3CDTF">2026-09-30T05:45:40Z</dcterms:created>
  <dcterms:modified xsi:type="dcterms:W3CDTF">2026-09-30T05:58:12Z</dcterms:modified>
</cp:coreProperties>
</file>